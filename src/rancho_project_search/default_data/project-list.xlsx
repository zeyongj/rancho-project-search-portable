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T:\Admin\Admin Employees\CORPORATE TEAM\Reception\Daily Documents\MASTER PL - CMS\"/>
    </mc:Choice>
  </mc:AlternateContent>
  <xr:revisionPtr revIDLastSave="0" documentId="13_ncr:1_{81FECEFA-F461-4A32-994E-EC8B45735B85}" xr6:coauthVersionLast="47" xr6:coauthVersionMax="47" xr10:uidLastSave="{00000000-0000-0000-0000-000000000000}"/>
  <bookViews>
    <workbookView xWindow="-28920" yWindow="-120" windowWidth="29040" windowHeight="15720" xr2:uid="{D53DCFA7-A328-4DC0-B4D2-6D8F0028B091}"/>
  </bookViews>
  <sheets>
    <sheet name="Active Projects" sheetId="1" r:id="rId1"/>
    <sheet name="NLM" sheetId="2" r:id="rId2"/>
  </sheets>
  <definedNames>
    <definedName name="_xlnm._FilterDatabase" localSheetId="0" hidden="1">'Active Projects'!$A$4:$P$4</definedName>
    <definedName name="Z_00405FEE_469B_40D7_AC4E_2A15797F8543_.wvu.FilterData" localSheetId="0" hidden="1">'Active Projects'!$A$4:$P$348</definedName>
    <definedName name="Z_02D9BE9C_2C8F_451C_9BC4_65A28BBECA1E_.wvu.Cols" localSheetId="0" hidden="1">'Active Projects'!#REF!,'Active Projects'!$P:$P,'Active Projects'!#REF!</definedName>
    <definedName name="Z_02D9BE9C_2C8F_451C_9BC4_65A28BBECA1E_.wvu.FilterData" localSheetId="0" hidden="1">'Active Projects'!$A$4:$P$348</definedName>
    <definedName name="Z_048AC3A0_16B4_4B38_97E0_B2666515C780_.wvu.FilterData" localSheetId="0" hidden="1">'Active Projects'!$A$4:$P$348</definedName>
    <definedName name="Z_067C604A_44CD_4AA1_A5D0_95ACBA5B6B8E_.wvu.FilterData" localSheetId="0" hidden="1">'Active Projects'!$A$4:$P$348</definedName>
    <definedName name="Z_0965FE90_DE03_4E5B_9099_53D58BF08D23_.wvu.FilterData" localSheetId="0" hidden="1">'Active Projects'!$A$4:$P$348</definedName>
    <definedName name="Z_185724A6_8EF5_4456_88CB_A850384053C8_.wvu.FilterData" localSheetId="0" hidden="1">'Active Projects'!$A$4:$P$348</definedName>
    <definedName name="Z_1AE938F3_669B_41D7_997E_9D034CD99E62_.wvu.FilterData" localSheetId="0" hidden="1">'Active Projects'!$A$4:$P$348</definedName>
    <definedName name="Z_1C36E94E_68F7_41EB_9162_EF8CF2A77621_.wvu.FilterData" localSheetId="0" hidden="1">'Active Projects'!$A$4:$P$348</definedName>
    <definedName name="Z_1D134C1D_3197_44C7_BF16_D79E32B87A11_.wvu.FilterData" localSheetId="0" hidden="1">'Active Projects'!$A$4:$P$348</definedName>
    <definedName name="Z_22632004_357B_4A5A_8EEA_EFBF76BD334C_.wvu.FilterData" localSheetId="0" hidden="1">'Active Projects'!$A$4:$P$348</definedName>
    <definedName name="Z_22A98996_FE22_475C_A8E2_C786C858A740_.wvu.FilterData" localSheetId="0" hidden="1">'Active Projects'!$A$4:$P$348</definedName>
    <definedName name="Z_26C08E7B_0C81_4B8C_AFEE_08209BAA117A_.wvu.FilterData" localSheetId="0" hidden="1">'Active Projects'!$A$4:$P$348</definedName>
    <definedName name="Z_2FE65463_3C6C_43F3_BA7E_F8AFF0C3379B_.wvu.FilterData" localSheetId="0" hidden="1">'Active Projects'!$A$4:$P$348</definedName>
    <definedName name="Z_316E219D_F9C5_4A8D_BFD8_356503963C4E_.wvu.FilterData" localSheetId="0" hidden="1">'Active Projects'!$A$4:$P$348</definedName>
    <definedName name="Z_37144061_7286_4D88_A400_B480F84E207F_.wvu.FilterData" localSheetId="0" hidden="1">'Active Projects'!$A$4:$P$348</definedName>
    <definedName name="Z_400910E6_56CD_41D4_8A75_7AE8CAEF5C12_.wvu.FilterData" localSheetId="0" hidden="1">'Active Projects'!$A$4:$P$348</definedName>
    <definedName name="Z_48259BF3_62F5_440A_8886_4420B7555946_.wvu.Cols" localSheetId="0" hidden="1">'Active Projects'!#REF!,'Active Projects'!$P:$P,'Active Projects'!#REF!</definedName>
    <definedName name="Z_48259BF3_62F5_440A_8886_4420B7555946_.wvu.FilterData" localSheetId="0" hidden="1">'Active Projects'!$A$4:$P$348</definedName>
    <definedName name="Z_4867E73F_8339_4895_AD8E_0A0BA0D48762_.wvu.FilterData" localSheetId="0" hidden="1">'Active Projects'!$A$4:$P$348</definedName>
    <definedName name="Z_4D0B8A46_B6C5_4E57_B5EC_D21CF5D69D45_.wvu.FilterData" localSheetId="0" hidden="1">'Active Projects'!$A$4:$P$348</definedName>
    <definedName name="Z_50474220_DFD2_41D9_A1A5_DDF40BF51087_.wvu.FilterData" localSheetId="0" hidden="1">'Active Projects'!$A$4:$P$348</definedName>
    <definedName name="Z_5C04271A_807D_45FA_8088_7D889D17B34B_.wvu.FilterData" localSheetId="0" hidden="1">'Active Projects'!$A$4:$P$348</definedName>
    <definedName name="Z_5FFF76EA_490C_48B8_998F_366607BE2F53_.wvu.FilterData" localSheetId="0" hidden="1">'Active Projects'!$A$4:$P$348</definedName>
    <definedName name="Z_63E35AC0_CA04_4A8A_962C_F6AC12EC9074_.wvu.FilterData" localSheetId="0" hidden="1">'Active Projects'!$A$4:$P$348</definedName>
    <definedName name="Z_660282BB_BBDA_4A4D_94B7_13BD71FF0D9D_.wvu.FilterData" localSheetId="0" hidden="1">'Active Projects'!$A$4:$P$348</definedName>
    <definedName name="Z_72A59F87_0E72_4B92_B42F_FE046798AD04_.wvu.FilterData" localSheetId="0" hidden="1">'Active Projects'!$A$4:$P$348</definedName>
    <definedName name="Z_74897583_0293_4131_8AE9_52659EE4B50C_.wvu.FilterData" localSheetId="0" hidden="1">'Active Projects'!$A$4:$P$348</definedName>
    <definedName name="Z_75A2805A_1DED_4C57_8697_B67357AA38FB_.wvu.FilterData" localSheetId="0" hidden="1">'Active Projects'!$A$4:$P$348</definedName>
    <definedName name="Z_7DFCBF5B_F69B_407E_863D_8FBB2195A035_.wvu.FilterData" localSheetId="0" hidden="1">'Active Projects'!$A$4:$P$4</definedName>
    <definedName name="Z_81AB6DEF_424B_412D_B9F1_94CF2CA62AC4_.wvu.FilterData" localSheetId="0" hidden="1">'Active Projects'!$A$4:$P$348</definedName>
    <definedName name="Z_868D2BEA_2F93_4CEC_98F1_4CEF6617B829_.wvu.FilterData" localSheetId="0" hidden="1">'Active Projects'!$A$4:$P$348</definedName>
    <definedName name="Z_88BB2D03_2C19_4770_940E_011E91B358C4_.wvu.FilterData" localSheetId="0" hidden="1">'Active Projects'!$A$4:$P$348</definedName>
    <definedName name="Z_9DAEE61A_DB06_45C3_A122_09AF416962BF_.wvu.FilterData" localSheetId="0" hidden="1">'Active Projects'!$A$4:$P$348</definedName>
    <definedName name="Z_A10E4416_3B05_467D_9B14_65924758ADF0_.wvu.FilterData" localSheetId="0" hidden="1">'Active Projects'!$A$4:$P$348</definedName>
    <definedName name="Z_A44E63A3_6FEA_47A1_A7CF_C12CCAE9FC09_.wvu.FilterData" localSheetId="0" hidden="1">'Active Projects'!$A$4:$P$348</definedName>
    <definedName name="Z_ABEDD1A1_B75F_4E44_8E42_02DC305F29C6_.wvu.FilterData" localSheetId="0" hidden="1">'Active Projects'!$A$4:$P$348</definedName>
    <definedName name="Z_AFAA2830_FFC0_46CF_8BC8_4C5BF0997FAF_.wvu.FilterData" localSheetId="0" hidden="1">'Active Projects'!$A$4:$P$348</definedName>
    <definedName name="Z_B2E530E5_AD4C_4555_A401_C6F7027FD183_.wvu.FilterData" localSheetId="0" hidden="1">'Active Projects'!$A$4:$P$348</definedName>
    <definedName name="Z_C4137947_B95B_4E82_AA53_D6534F38DB9E_.wvu.FilterData" localSheetId="0" hidden="1">'Active Projects'!$A$4:$P$348</definedName>
    <definedName name="Z_CBEEECC1_AD3D_4603_88B0_1ED6D273309F_.wvu.FilterData" localSheetId="0" hidden="1">'Active Projects'!$A$4:$P$348</definedName>
    <definedName name="Z_D12F7C54_C1B1_44AA_A47A_F3BAE80D0D6F_.wvu.FilterData" localSheetId="0" hidden="1">'Active Projects'!$A$4:$P$348</definedName>
    <definedName name="Z_D553ABCA_DCBA_4E33_BCFC_15E33BBD37AA_.wvu.FilterData" localSheetId="0" hidden="1">'Active Projects'!$A$4:$P$348</definedName>
    <definedName name="Z_D7E4B667_2A76_498E_BF2E_A393F17EAA25_.wvu.FilterData" localSheetId="0" hidden="1">'Active Projects'!$A$4:$P$348</definedName>
    <definedName name="Z_D8A960B0_4463_4BBD_AE3D_070B3BC7CFF0_.wvu.FilterData" localSheetId="0" hidden="1">'Active Projects'!$A$4:$P$348</definedName>
    <definedName name="Z_DA126001_8202_48BE_B971_EB93B4876E11_.wvu.FilterData" localSheetId="0" hidden="1">'Active Projects'!$A$4:$P$348</definedName>
    <definedName name="Z_E21F3D89_E3F7_4680_AFCE_38857DCFB5E2_.wvu.FilterData" localSheetId="0" hidden="1">'Active Projects'!$A$4:$P$348</definedName>
    <definedName name="Z_F0C0B65A_F2FC_4472_9C89_928FCD6F65D3_.wvu.FilterData" localSheetId="0" hidden="1">'Active Projects'!$A$4:$P$348</definedName>
    <definedName name="Z_F655576D_CB0B_4FE9_BC0A_270CED2B0942_.wvu.FilterData" localSheetId="0" hidden="1">'Active Projects'!$A$4:$P$348</definedName>
    <definedName name="Z_F7662680_4A14_43B4_ACD6_80F95F23883F_.wvu.FilterData" localSheetId="0" hidden="1">'Active Projects'!$A$4:$P$348</definedName>
    <definedName name="Z_F8A35FE3_D812_4408_892A_588E2CC450FC_.wvu.FilterData" localSheetId="0" hidden="1">'Active Projects'!$A$4:$P$348</definedName>
    <definedName name="Z_FBEA91FE_7772_4C10_91A8_69A1323D9183_.wvu.FilterData" localSheetId="0" hidden="1">'Active Projects'!$A$4:$P$348</definedName>
  </definedNames>
  <calcPr calcId="191029"/>
  <customWorkbookViews>
    <customWorkbookView name="Tina Chan - Personal View" guid="{02D9BE9C-2C8F-451C-9BC4-65A28BBECA1E}" mergeInterval="0" personalView="1" maximized="1" xWindow="-8" yWindow="-8" windowWidth="1696" windowHeight="1026" activeSheetId="1"/>
    <customWorkbookView name="Kristen McManus - Personal View" guid="{48259BF3-62F5-440A-8886-4420B7555946}" mergeInterval="0" personalView="1" xWindow="413" yWindow="116" windowWidth="1260" windowHeight="728" activeSheetId="1"/>
    <customWorkbookView name="Thuy Nguyen - Personal View" guid="{AAFB2EC0-D5A8-4D22-9ECE-29784D5FA584}" mergeInterval="0" personalView="1" xWindow="1924" yWindow="4" windowWidth="917" windowHeight="1036" activeSheetId="1"/>
    <customWorkbookView name="May Alvarez - Personal View" guid="{D7E4B667-2A76-498E-BF2E-A393F17EAA25}" mergeInterval="0" personalView="1" maximized="1" xWindow="-1928" yWindow="-42" windowWidth="1936" windowHeight="10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314" i="2" l="1"/>
  <c r="U311" i="2"/>
  <c r="U308" i="2" l="1"/>
  <c r="U307" i="2"/>
  <c r="U305" i="2"/>
  <c r="U304" i="2"/>
  <c r="U290" i="2"/>
  <c r="U280" i="2"/>
  <c r="U277" i="2" l="1"/>
  <c r="U271" i="2"/>
  <c r="U267" i="2"/>
  <c r="U260" i="2"/>
  <c r="U257" i="2"/>
  <c r="U244" i="2"/>
  <c r="U245" i="2"/>
  <c r="U246" i="2"/>
  <c r="U224" i="2"/>
  <c r="U222" i="2" l="1"/>
  <c r="U221" i="2"/>
  <c r="U220" i="2"/>
  <c r="U216" i="2"/>
  <c r="U215" i="2"/>
  <c r="U212" i="2" l="1"/>
  <c r="U211" i="2" l="1"/>
  <c r="U210" i="2" l="1"/>
  <c r="U206" i="2" l="1"/>
  <c r="U205" i="2" l="1"/>
  <c r="U203" i="2" l="1"/>
  <c r="U199" i="2" l="1"/>
  <c r="A2" i="1" l="1"/>
  <c r="U196" i="2" l="1"/>
  <c r="U193" i="2"/>
  <c r="U190" i="2"/>
  <c r="U189" i="2"/>
  <c r="U188" i="2"/>
  <c r="U186" i="2"/>
  <c r="U185" i="2"/>
  <c r="U184" i="2"/>
  <c r="U183" i="2"/>
  <c r="T182" i="2"/>
  <c r="T181" i="2"/>
  <c r="T180" i="2"/>
  <c r="T179" i="2"/>
  <c r="T178" i="2"/>
  <c r="T177" i="2"/>
  <c r="T176" i="2"/>
  <c r="T174" i="2"/>
  <c r="T170" i="2"/>
  <c r="T168" i="2"/>
  <c r="T167" i="2"/>
  <c r="T166" i="2"/>
  <c r="T165" i="2"/>
  <c r="T164" i="2"/>
  <c r="T163" i="2"/>
  <c r="T162" i="2"/>
  <c r="T161" i="2"/>
  <c r="T160" i="2"/>
  <c r="T159" i="2"/>
  <c r="T158" i="2"/>
  <c r="T156" i="2"/>
  <c r="T155" i="2"/>
  <c r="T15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testlocal</author>
  </authors>
  <commentList>
    <comment ref="K165" authorId="0" shapeId="0" xr:uid="{E264DF40-2ECC-4267-8898-E4BBADEC91C7}">
      <text>
        <r>
          <rPr>
            <b/>
            <sz val="9"/>
            <color indexed="81"/>
            <rFont val="Tahoma"/>
            <family val="2"/>
          </rPr>
          <t>testlocal:</t>
        </r>
        <r>
          <rPr>
            <sz val="9"/>
            <color indexed="81"/>
            <rFont val="Tahoma"/>
            <family val="2"/>
          </rPr>
          <t xml:space="preserve">
JG to confirm - December 1, 2011
</t>
        </r>
      </text>
    </comment>
  </commentList>
</comments>
</file>

<file path=xl/sharedStrings.xml><?xml version="1.0" encoding="utf-8"?>
<sst xmlns="http://schemas.openxmlformats.org/spreadsheetml/2006/main" count="6910" uniqueCount="3235">
  <si>
    <t>PROJ #</t>
  </si>
  <si>
    <t>DATE ACTIVE</t>
  </si>
  <si>
    <t>PROJECT NAME</t>
  </si>
  <si>
    <t>STRATA 
PLAN</t>
  </si>
  <si>
    <t># OF 
UNITS</t>
  </si>
  <si>
    <t>PM</t>
  </si>
  <si>
    <t>RESIDENT 
MANAGER</t>
  </si>
  <si>
    <t>STRATA TYPE</t>
  </si>
  <si>
    <t>INSURANCE
COMPANY</t>
  </si>
  <si>
    <t>INSURANCE
EXPIRY (ANNIV)</t>
  </si>
  <si>
    <t>DATE OF LAST
APPRAISAL</t>
  </si>
  <si>
    <t>APPRAISAL CO. &amp; CONTRACT YEAR</t>
  </si>
  <si>
    <t>LIEN
FEE</t>
  </si>
  <si>
    <t>MOVE IN 
FEE</t>
  </si>
  <si>
    <t>MOVE OUT 
FEE</t>
  </si>
  <si>
    <t>RSERVICE</t>
  </si>
  <si>
    <t>2500
(50)</t>
  </si>
  <si>
    <t>RANCHO CORPORATE</t>
  </si>
  <si>
    <t>CKS</t>
  </si>
  <si>
    <t>2600
(98)</t>
  </si>
  <si>
    <t>ALLBRIGHT</t>
  </si>
  <si>
    <t>COASTAL</t>
  </si>
  <si>
    <t>121 Units</t>
  </si>
  <si>
    <t xml:space="preserve">CS (Christie)
</t>
  </si>
  <si>
    <t>RESIDENTIAL SECTION</t>
  </si>
  <si>
    <t>JT INSURANCE</t>
  </si>
  <si>
    <t>NORMAC
Year 3 of 3</t>
  </si>
  <si>
    <t>PRO/DEVEL/XXXX</t>
  </si>
  <si>
    <t>n/a</t>
  </si>
  <si>
    <t>No</t>
  </si>
  <si>
    <t>NW2225</t>
  </si>
  <si>
    <t>80 Units</t>
  </si>
  <si>
    <t>CZ</t>
  </si>
  <si>
    <t>NORMAL</t>
  </si>
  <si>
    <t>BFL</t>
  </si>
  <si>
    <t>Yes</t>
  </si>
  <si>
    <t>VR1853</t>
  </si>
  <si>
    <t>9 Units</t>
  </si>
  <si>
    <t>CL</t>
  </si>
  <si>
    <t>ACCOUNTING ONLY</t>
  </si>
  <si>
    <t>CapriCMW</t>
  </si>
  <si>
    <t>PRO/ACCTING/XXXX</t>
  </si>
  <si>
    <t>LMS2194</t>
  </si>
  <si>
    <t>79 Units</t>
  </si>
  <si>
    <t>MC</t>
  </si>
  <si>
    <t>Contact Mary</t>
  </si>
  <si>
    <t>HUB</t>
  </si>
  <si>
    <t>NORMAC
Year 1 of 3</t>
  </si>
  <si>
    <t>LMS3890</t>
  </si>
  <si>
    <t>55 Units</t>
  </si>
  <si>
    <t>CG</t>
  </si>
  <si>
    <t>Contact Cathy</t>
  </si>
  <si>
    <t>NORMAC
Year 2 of 3</t>
  </si>
  <si>
    <t>LMS3317</t>
  </si>
  <si>
    <t>60 Residential
5 Commercial</t>
  </si>
  <si>
    <t>JG</t>
  </si>
  <si>
    <t>TYPES</t>
  </si>
  <si>
    <t>LMS3912</t>
  </si>
  <si>
    <t>36 Units</t>
  </si>
  <si>
    <t xml:space="preserve">TL
</t>
  </si>
  <si>
    <t>AIR SPACE PARCEL</t>
  </si>
  <si>
    <t>LMS2179</t>
  </si>
  <si>
    <t>8 Units</t>
  </si>
  <si>
    <t xml:space="preserve">Delon Sogocio
604-312-2031 (do not give out)
dsogocio@allbrightservices.ca
</t>
  </si>
  <si>
    <t>COMMERCIAL SECTION</t>
  </si>
  <si>
    <t>with Residential</t>
  </si>
  <si>
    <t>LMS1554</t>
  </si>
  <si>
    <t>51 Units</t>
  </si>
  <si>
    <t xml:space="preserve">Hotel Manager: David Mangala
Phone: 604-688-7678
Direct: 604-696-6959
gm.vancouver@executivehotels.net
Bldg. Supervisor:Virgil
604-834-6289
</t>
  </si>
  <si>
    <t>LMS2995</t>
  </si>
  <si>
    <t>535 Units</t>
  </si>
  <si>
    <t>JOINT</t>
  </si>
  <si>
    <t>530 Units</t>
  </si>
  <si>
    <t>LMS2518</t>
  </si>
  <si>
    <t xml:space="preserve">Delon Sogocio (Building Supervisor)
604 312 2031 (do not give out)
dsogocio@allbrightservices.ca
</t>
  </si>
  <si>
    <t>Owner said no to strata insurance</t>
  </si>
  <si>
    <t>LMS2995C</t>
  </si>
  <si>
    <t>5 Units</t>
  </si>
  <si>
    <t>VR2576</t>
  </si>
  <si>
    <t>68 Units</t>
  </si>
  <si>
    <t>AL</t>
  </si>
  <si>
    <t xml:space="preserve">NORMAC
Year 2 of 3 </t>
  </si>
  <si>
    <t>LMS4255</t>
  </si>
  <si>
    <t>369 Units</t>
  </si>
  <si>
    <t>JL</t>
  </si>
  <si>
    <t>CapriCapriCMW</t>
  </si>
  <si>
    <t>LMS4255C</t>
  </si>
  <si>
    <t>7 Units</t>
  </si>
  <si>
    <t>VR1428</t>
  </si>
  <si>
    <t>57 Units</t>
  </si>
  <si>
    <t>RY</t>
  </si>
  <si>
    <t>LMS3244</t>
  </si>
  <si>
    <t>39 Units</t>
  </si>
  <si>
    <t xml:space="preserve">BFL </t>
  </si>
  <si>
    <t>LMS1632</t>
  </si>
  <si>
    <t>FM</t>
  </si>
  <si>
    <t>NORMAL/BARELAND STRATA</t>
  </si>
  <si>
    <t>VR855</t>
  </si>
  <si>
    <t>72 Units</t>
  </si>
  <si>
    <t xml:space="preserve">Vivianna Boicu
7-5555 Oak Street
Phone: 604-322-0169
cboicu@telus.net
</t>
  </si>
  <si>
    <t>LMS2807</t>
  </si>
  <si>
    <t>128 Units</t>
  </si>
  <si>
    <t>$150
$75 for furnished</t>
  </si>
  <si>
    <t>LMS3182</t>
  </si>
  <si>
    <t>30 Units</t>
  </si>
  <si>
    <t xml:space="preserve">CL
</t>
  </si>
  <si>
    <t>LMS4705</t>
  </si>
  <si>
    <t>115 Units</t>
  </si>
  <si>
    <t>LMS4294</t>
  </si>
  <si>
    <t>38 Units</t>
  </si>
  <si>
    <t>Contact PM</t>
  </si>
  <si>
    <t>BCS183</t>
  </si>
  <si>
    <t>246 Units</t>
  </si>
  <si>
    <t>JP</t>
  </si>
  <si>
    <t xml:space="preserve">
(a) For a move in or out of an unfurnished strata lot that requires elevator, hallway or stairwell access:  $250.00
(b) For a move in or out of an unfurnished strata lot that does not require elevator, hallway or stairwell access:   $120.00
(c) For a move in or out of a furnished strata lot, regardless of need for elevator, hallway or stairwell access:  $100.00
(d) For an internal move within the building, regardless of need for elevator, hallway or stairwell access:  $100.00
(e) Townhouses are exempted from the aforementioned fees, provided that no elevator is used during the move. 
</t>
  </si>
  <si>
    <t>100 Units</t>
  </si>
  <si>
    <t>YM</t>
  </si>
  <si>
    <t>Attendant Desk
Phone: 604-689-1611</t>
  </si>
  <si>
    <t>CLUB</t>
  </si>
  <si>
    <t>TEMPORARY MOORAGE</t>
  </si>
  <si>
    <t>BCS327</t>
  </si>
  <si>
    <t>86 Units</t>
  </si>
  <si>
    <t>BCS435</t>
  </si>
  <si>
    <t>129 Units</t>
  </si>
  <si>
    <t xml:space="preserve">JL
</t>
  </si>
  <si>
    <t>BCS397</t>
  </si>
  <si>
    <t>60 Units</t>
  </si>
  <si>
    <t>BCS679</t>
  </si>
  <si>
    <t>207 Units</t>
  </si>
  <si>
    <t>BCS890</t>
  </si>
  <si>
    <t>200 Units</t>
  </si>
  <si>
    <t>GR</t>
  </si>
  <si>
    <t>$350.00
No Elevator, Stair, Hallway -$100.00</t>
  </si>
  <si>
    <t>75 Units</t>
  </si>
  <si>
    <t>BCS1076</t>
  </si>
  <si>
    <t>82 Units</t>
  </si>
  <si>
    <t>$200.00 (weekdays)
$200 + $150.00 (weekends)
New owner/occupier is entitled 
to 1 free move in 
$200 cash deposit required</t>
  </si>
  <si>
    <t>BCS1099</t>
  </si>
  <si>
    <t>173 Units</t>
  </si>
  <si>
    <t>DC</t>
  </si>
  <si>
    <t xml:space="preserve">$275.00
TH - $100.00
Internal - $75.00
</t>
  </si>
  <si>
    <t>$150
TH - $75
internal $75</t>
  </si>
  <si>
    <t>BCS1219</t>
  </si>
  <si>
    <t>175 Units</t>
  </si>
  <si>
    <t>FY</t>
  </si>
  <si>
    <t>$200.00
TH - $100.00
Internal - $75.00</t>
  </si>
  <si>
    <t xml:space="preserve">$200.00
TH - $100.00
</t>
  </si>
  <si>
    <t xml:space="preserve">5131
5131N (North Tower)
5131S (South Tower)
</t>
  </si>
  <si>
    <t>BCS1893</t>
  </si>
  <si>
    <t>5133
5133-1
5133-2</t>
  </si>
  <si>
    <t>BCS1437</t>
  </si>
  <si>
    <t>526 Units</t>
  </si>
  <si>
    <t>FY/CL
(EJ is Admin)</t>
  </si>
  <si>
    <t xml:space="preserve">NORMAC
Year 3 of 3 </t>
  </si>
  <si>
    <t xml:space="preserve">Apt.: $250.00
TH/Loft: $0
Internal (same tower): $125
</t>
  </si>
  <si>
    <t>15 Units</t>
  </si>
  <si>
    <t>THE MAX JOINT</t>
  </si>
  <si>
    <t>541 Units</t>
  </si>
  <si>
    <t>LMS1608</t>
  </si>
  <si>
    <t>10 Units</t>
  </si>
  <si>
    <t>48 Units</t>
  </si>
  <si>
    <t>BCS1903</t>
  </si>
  <si>
    <t>181 Units -R
4 Units - C</t>
  </si>
  <si>
    <t>$250.00
When an elevtor is required</t>
  </si>
  <si>
    <t>BCS1849</t>
  </si>
  <si>
    <t>44 Units</t>
  </si>
  <si>
    <t>$100 
(if change in ownership, first move in is exempt)</t>
  </si>
  <si>
    <t xml:space="preserve">5145
5145-1 (638 Beach Cres., Tower 1 + TH)
5145-2 (633 Kinghorne, Tower 2)
</t>
  </si>
  <si>
    <t>BCS1964</t>
  </si>
  <si>
    <t>176 Units</t>
  </si>
  <si>
    <t>$200.00
$100.00 - TH/Furnished</t>
  </si>
  <si>
    <t>ICON PARKING/CLUB OASIS</t>
  </si>
  <si>
    <t>50 Units</t>
  </si>
  <si>
    <t xml:space="preserve">5147
5147E (8 &amp; 10 Renaissance Sq.)
5147W (7 Rialto Ct.)
</t>
  </si>
  <si>
    <t>BCS1347</t>
  </si>
  <si>
    <t>237 Units</t>
  </si>
  <si>
    <t>BS</t>
  </si>
  <si>
    <t>$200 + $50 fob program fee</t>
  </si>
  <si>
    <t>BCS282</t>
  </si>
  <si>
    <t>CS</t>
  </si>
  <si>
    <t xml:space="preserve">Name: David Ashbaugh
Telephone: 604-813-1564
Email: bcs282.perla@gmail.com
Office Hours: 8 am to 5 pm
Monday to Friday
On Site Hours:
9:30 a.m. to 6:00 p.m.
Office Hours (Amenity Room in Tower A):
9:30 a.m. to 10:00 a.m. &amp; 4:30 p.m. to 5:45 p.m. (or by appointment)
</t>
  </si>
  <si>
    <t xml:space="preserve">$275 move in fee 
$100 for furnished/move between floors
additional $100 for weekend moves, whether in or out
</t>
  </si>
  <si>
    <t>232 Units</t>
  </si>
  <si>
    <t>$275.00
*Weekend - $100.00 on top of the regular move in fee
-$100 for furnished/move between floors</t>
  </si>
  <si>
    <t>BCS2186</t>
  </si>
  <si>
    <t xml:space="preserve">Building Manager:
Randy 
604-339-2152 (cell,  do not give out)
778-374-1853 (office)
buildingmanager@linis.ca, cc: kezia@linis.ca 
</t>
  </si>
  <si>
    <t>$200 Move Fee, $100 Deposit cash</t>
  </si>
  <si>
    <t>LMS2781</t>
  </si>
  <si>
    <t>221 Units</t>
  </si>
  <si>
    <t>CCS</t>
  </si>
  <si>
    <t>$300
$150 - furnished</t>
  </si>
  <si>
    <t>BCS2495</t>
  </si>
  <si>
    <t>139 Units</t>
  </si>
  <si>
    <t>APT:$200
TH: $0</t>
  </si>
  <si>
    <t>4 Units</t>
  </si>
  <si>
    <t>Concierge: 604-662-4915</t>
  </si>
  <si>
    <t>5164-10</t>
  </si>
  <si>
    <t>BCS1362</t>
  </si>
  <si>
    <t>59 Units</t>
  </si>
  <si>
    <t>$400.00 - APT
TH - $200.00</t>
  </si>
  <si>
    <t>BCS2478</t>
  </si>
  <si>
    <t>443 Units</t>
  </si>
  <si>
    <t>JT</t>
  </si>
  <si>
    <t>$200.00
$0.00 for TH
Furnished suites - $100</t>
  </si>
  <si>
    <t>90 Units</t>
  </si>
  <si>
    <t>BCS2577</t>
  </si>
  <si>
    <t>211 Units</t>
  </si>
  <si>
    <t>$150.00
$75.00 - TH/Internal
$0 - furnished</t>
  </si>
  <si>
    <t>$150.00
$75.00 - TH/Internal</t>
  </si>
  <si>
    <t>BCS2611</t>
  </si>
  <si>
    <t>245 Units</t>
  </si>
  <si>
    <t>BCS2785</t>
  </si>
  <si>
    <t>345 Units</t>
  </si>
  <si>
    <t>TL</t>
  </si>
  <si>
    <t>148 Units</t>
  </si>
  <si>
    <t>BCS3127</t>
  </si>
  <si>
    <t>$250.00
$100.00 - TH and Villas
$75.00 - internal</t>
  </si>
  <si>
    <t>5186
5186-10 for Residential 
5186-20 for Commercial</t>
  </si>
  <si>
    <t>LMS2146</t>
  </si>
  <si>
    <t>35 Units</t>
  </si>
  <si>
    <t xml:space="preserve">Resident Manager: Cam Brister 
email: cbrister@allbrightservices.ca (do not give out)
Cell:  604-312-9936 (do not give out)
</t>
  </si>
  <si>
    <t>$500.00
This covers both move in and out</t>
  </si>
  <si>
    <t>BCS2959</t>
  </si>
  <si>
    <t>Building Manager:
Cam Brister
Email: cbrister@allbrightservices.ca (do not give out)
Cell: 604-312-9936 (do not give out)</t>
  </si>
  <si>
    <t>BCS3141</t>
  </si>
  <si>
    <t xml:space="preserve">5198
5255-1 (Tower 1)
5255-2 (Tower 2)
</t>
  </si>
  <si>
    <t>BCS3407</t>
  </si>
  <si>
    <t>Tower 1 - 199 Units
Tower 2 - 255 Units</t>
  </si>
  <si>
    <t>SECTIONED</t>
  </si>
  <si>
    <t>$200
$100.00 - furnished suites</t>
  </si>
  <si>
    <t xml:space="preserve">5199
5199N (North Tower)
5199S (South Tower)
</t>
  </si>
  <si>
    <t>BCS2450</t>
  </si>
  <si>
    <t>185 Units</t>
  </si>
  <si>
    <t>February 5, 2009</t>
  </si>
  <si>
    <t>BCS2610</t>
  </si>
  <si>
    <t>NH</t>
  </si>
  <si>
    <t>$400.00
$100.00 for furnished suites or a move between floors</t>
  </si>
  <si>
    <t>January 13, 2009</t>
  </si>
  <si>
    <t>BCS2563</t>
  </si>
  <si>
    <t>165 Units</t>
  </si>
  <si>
    <t>$250
$0 – Moves from suite to suite within the building
$0 – Ground floor townhomes (110 – 168 Prior St., 910 – 930 Quebec St., 129 – 179 Milross Ave.)</t>
  </si>
  <si>
    <t>$250
$250 – Moves from suite to suite within the building
$0 – Ground floor townhomes (110 – 168 Prior St., 910 – 930 Quebec St., 129 – 179 Milross Ave.)</t>
  </si>
  <si>
    <t>BCS3533</t>
  </si>
  <si>
    <t>96 Units</t>
  </si>
  <si>
    <t>$100
move in does not apply to initial owners</t>
  </si>
  <si>
    <t>April 1, 2009</t>
  </si>
  <si>
    <t>LMS2687</t>
  </si>
  <si>
    <t>147 Units</t>
  </si>
  <si>
    <t>April 6, 2009</t>
  </si>
  <si>
    <t>BCS2690</t>
  </si>
  <si>
    <t>120 Units</t>
  </si>
  <si>
    <t>PARKADE</t>
  </si>
  <si>
    <t>August 1, 2009</t>
  </si>
  <si>
    <t>BCS3310</t>
  </si>
  <si>
    <t>January 1, 2010</t>
  </si>
  <si>
    <t>BCS3651</t>
  </si>
  <si>
    <t>31 Units</t>
  </si>
  <si>
    <t>July 21, 2009</t>
  </si>
  <si>
    <t>BCS2591</t>
  </si>
  <si>
    <t>92 Units</t>
  </si>
  <si>
    <t>September 1, 2009</t>
  </si>
  <si>
    <t>BCS1545</t>
  </si>
  <si>
    <t>116 Units</t>
  </si>
  <si>
    <t>JOINT AND SECTIONS</t>
  </si>
  <si>
    <t xml:space="preserve">$100.00
for Apartment 
Section </t>
  </si>
  <si>
    <t>BCS3562</t>
  </si>
  <si>
    <t>56 Res
4 Comm</t>
  </si>
  <si>
    <t>March 1, 2010</t>
  </si>
  <si>
    <t>BCS3702</t>
  </si>
  <si>
    <t>February 1, 2010</t>
  </si>
  <si>
    <t>BCS3664</t>
  </si>
  <si>
    <t xml:space="preserve">$100.00
$200 cash deposit required
$75 internal
</t>
  </si>
  <si>
    <t xml:space="preserve">$100.00
</t>
  </si>
  <si>
    <t>July 1, 2010</t>
  </si>
  <si>
    <t>BCS3836</t>
  </si>
  <si>
    <t>202 Units</t>
  </si>
  <si>
    <t>$300
$100 if furnished</t>
  </si>
  <si>
    <t>5 Untis</t>
  </si>
  <si>
    <t>BCS3550</t>
  </si>
  <si>
    <t>146 Units</t>
  </si>
  <si>
    <t>$150.00 
$200.00 deposit (Must be cheque)</t>
  </si>
  <si>
    <t>BCS3839</t>
  </si>
  <si>
    <t>20 Commercial Units</t>
  </si>
  <si>
    <t xml:space="preserve">Bldg. Super: Narcisse Tchoumi
cell: 604-868-2760
ntchoumi@allbrightservices.ca
</t>
  </si>
  <si>
    <t>5228</t>
  </si>
  <si>
    <t>LMS2371</t>
  </si>
  <si>
    <t>252 Units</t>
  </si>
  <si>
    <t>LMS1716</t>
  </si>
  <si>
    <t>127 Units</t>
  </si>
  <si>
    <t>NW2697</t>
  </si>
  <si>
    <t>5 TH</t>
  </si>
  <si>
    <t xml:space="preserve">Pete Duchesne
604-802-7150 (do not give out)
pduchesne@allbrightservices.ca
</t>
  </si>
  <si>
    <t xml:space="preserve">5234
</t>
  </si>
  <si>
    <t>BCS3395</t>
  </si>
  <si>
    <t>152 Units</t>
  </si>
  <si>
    <t>SUNCORP</t>
  </si>
  <si>
    <t>$400 unfurnished
$125 furnished</t>
  </si>
  <si>
    <t>PALOMA PARKING</t>
  </si>
  <si>
    <t>20 Units</t>
  </si>
  <si>
    <t>BCS3603</t>
  </si>
  <si>
    <t>16 Units</t>
  </si>
  <si>
    <t>BCS4075</t>
  </si>
  <si>
    <t>125 Units</t>
  </si>
  <si>
    <t>$200, $100 if no elevator, hallway or stairwell access is needed</t>
  </si>
  <si>
    <t xml:space="preserve">5238
5238A (Tower A, 5028 Kwantlen)
5238B (Tower B, 5068 Kwantlen)
5238C (Tower C, 5088 Kwantlen)
5238D (Tower D, 5168 Kwantlen)
</t>
  </si>
  <si>
    <t>BCS1861</t>
  </si>
  <si>
    <t>289 Units</t>
  </si>
  <si>
    <t>$300
$100 for weekend moves</t>
  </si>
  <si>
    <t>EPS390</t>
  </si>
  <si>
    <t>BCS3856</t>
  </si>
  <si>
    <t>154 Units</t>
  </si>
  <si>
    <t>$400
$100 furnished or between floors</t>
  </si>
  <si>
    <t>160 Units</t>
  </si>
  <si>
    <t>BCS4221</t>
  </si>
  <si>
    <t>Phase 1 - 27 Units
Phase 2 - 24 Units</t>
  </si>
  <si>
    <t>5253
5253T
5253HH</t>
  </si>
  <si>
    <t>BCS4213</t>
  </si>
  <si>
    <t>233 Units</t>
  </si>
  <si>
    <t>459 Units</t>
  </si>
  <si>
    <t>EPS561</t>
  </si>
  <si>
    <t>716 Units</t>
  </si>
  <si>
    <t>$100
Weekend and Stat holidays $250</t>
  </si>
  <si>
    <t>0
Weekend and Stat holidays $150</t>
  </si>
  <si>
    <t xml:space="preserve">5257 – Park Place Residential
5256-1 (One Park Place)
5256-2 (Two Park Place)
</t>
  </si>
  <si>
    <t xml:space="preserve">One Park Place - 349 Units
Two Park Place - 349 Units
</t>
  </si>
  <si>
    <t xml:space="preserve">5258 – Park Place Commercial
5256-C
</t>
  </si>
  <si>
    <t>18 Units</t>
  </si>
  <si>
    <t>PERLA - RESIDENTIAL</t>
  </si>
  <si>
    <t>225 Units</t>
  </si>
  <si>
    <t xml:space="preserve">$275.00
Weekend - $100
</t>
  </si>
  <si>
    <t>FREESIA - JOINT</t>
  </si>
  <si>
    <t>VICTORIA HILL - COMMERCIAL</t>
  </si>
  <si>
    <t>3 Units</t>
  </si>
  <si>
    <t>VICTORIA HILL - JOINT</t>
  </si>
  <si>
    <t>188 Units</t>
  </si>
  <si>
    <t>5266</t>
  </si>
  <si>
    <t>MARINASIDE RESORT - RESIDENTIAL</t>
  </si>
  <si>
    <t>362 Units</t>
  </si>
  <si>
    <t>5267</t>
  </si>
  <si>
    <t>DEL PRADO - RESIDENTIAL</t>
  </si>
  <si>
    <t>5271</t>
  </si>
  <si>
    <t>EPS1113</t>
  </si>
  <si>
    <t>PALOMA ONE - RESIDENTIAL</t>
  </si>
  <si>
    <t>122 Units</t>
  </si>
  <si>
    <t>5273</t>
  </si>
  <si>
    <t>PALOMA ONE - COMMERCIAL</t>
  </si>
  <si>
    <t>6 Units</t>
  </si>
  <si>
    <t>5275</t>
  </si>
  <si>
    <t>5277</t>
  </si>
  <si>
    <t>EPS1093</t>
  </si>
  <si>
    <t>103 Units</t>
  </si>
  <si>
    <t>AM</t>
  </si>
  <si>
    <t>5278</t>
  </si>
  <si>
    <t>102 Units</t>
  </si>
  <si>
    <t>5280</t>
  </si>
  <si>
    <t>ALTO - RESIDENTIAL</t>
  </si>
  <si>
    <t>110 Units</t>
  </si>
  <si>
    <t>5281
5281-C</t>
  </si>
  <si>
    <t>LMS1757</t>
  </si>
  <si>
    <t>142 Units</t>
  </si>
  <si>
    <t xml:space="preserve">Resident Manager:
Calvin Greger
londonplace@novuscom.net
Office: 604-685-0139
Cell: 604-328-5136 (do not give out)
</t>
  </si>
  <si>
    <t>JT Insurance</t>
  </si>
  <si>
    <t>BCS4277</t>
  </si>
  <si>
    <t>60 TH</t>
  </si>
  <si>
    <t xml:space="preserve">5285
5285-1 (Phase 1)
5285-2 (Phase 2)
</t>
  </si>
  <si>
    <t>BCS4311</t>
  </si>
  <si>
    <t>Phase 1  - 134 Units
Phase 2 - 157 Units</t>
  </si>
  <si>
    <t>BCS4387</t>
  </si>
  <si>
    <t>253 Units</t>
  </si>
  <si>
    <t xml:space="preserve">$350
$250 (between 11:00 a.m. and 5:00 p.m.)
$125 (fully furnished unit)
$100 (moving from unit to another in the building)
$100 (townhouse)
</t>
  </si>
  <si>
    <t>VR1026</t>
  </si>
  <si>
    <t>LMP52054</t>
  </si>
  <si>
    <t>PARK</t>
  </si>
  <si>
    <t>BCS4332</t>
  </si>
  <si>
    <t>EPS984</t>
  </si>
  <si>
    <t>254 Units</t>
  </si>
  <si>
    <t>BCS4512</t>
  </si>
  <si>
    <t>255 Units</t>
  </si>
  <si>
    <t>EPS809</t>
  </si>
  <si>
    <t>185 units</t>
  </si>
  <si>
    <t>EPS1232</t>
  </si>
  <si>
    <t>176 units</t>
  </si>
  <si>
    <t xml:space="preserve">$200
$300 Damage Deposit (Cash Only)
</t>
  </si>
  <si>
    <t>EPS808</t>
  </si>
  <si>
    <t>256 Total</t>
  </si>
  <si>
    <t>251 Units</t>
  </si>
  <si>
    <t>EPS1614</t>
  </si>
  <si>
    <t>$100.00 admin fee</t>
  </si>
  <si>
    <t>EPS1503</t>
  </si>
  <si>
    <t>12 Residential units</t>
  </si>
  <si>
    <t>PL</t>
  </si>
  <si>
    <t xml:space="preserve">5308
5308-T (Townhomes)
</t>
  </si>
  <si>
    <t>EPS1231</t>
  </si>
  <si>
    <t>288 Units</t>
  </si>
  <si>
    <t>EPS1399</t>
  </si>
  <si>
    <t>81 Residential Units</t>
  </si>
  <si>
    <t>EPS1316</t>
  </si>
  <si>
    <t>75 Residential Units</t>
  </si>
  <si>
    <t>Hub
(32988 South Fraser Way branch)</t>
  </si>
  <si>
    <t>58 Units</t>
  </si>
  <si>
    <t>EPS1877</t>
  </si>
  <si>
    <t xml:space="preserve">64 RES
11 COMM
</t>
  </si>
  <si>
    <t>EPS1923</t>
  </si>
  <si>
    <t xml:space="preserve">$150 regular move in 
$100 for Townhouses
$75 for internal
</t>
  </si>
  <si>
    <t>$0 move out</t>
  </si>
  <si>
    <t>VAS2864</t>
  </si>
  <si>
    <t>BCS3638</t>
  </si>
  <si>
    <t>$300
$150 for townhomes</t>
  </si>
  <si>
    <t xml:space="preserve">5323
5323-1 (Tower 1, 9288 Odlin)
5323-2A (Tower 2A, 9299 Tomicki)
5323-2B (Tower 2B, 9199 Tomicki)
</t>
  </si>
  <si>
    <t>BCS3325</t>
  </si>
  <si>
    <t>260 Units</t>
  </si>
  <si>
    <t xml:space="preserve">5324
5324-1 (Tower 1, 8600 Park)
5324-2 (Tower 2, 6828 Eckersley)
5324-3 (Tower 3, 6800 Eckersley)
</t>
  </si>
  <si>
    <t>BCS4130</t>
  </si>
  <si>
    <t>296 Units</t>
  </si>
  <si>
    <t>$300.00
$200 cash damage deposit</t>
  </si>
  <si>
    <t>$200 cash damage deposit</t>
  </si>
  <si>
    <t>YES</t>
  </si>
  <si>
    <t>BCS4008</t>
  </si>
  <si>
    <t>229 Units</t>
  </si>
  <si>
    <t>71 Units</t>
  </si>
  <si>
    <t>SECTION</t>
  </si>
  <si>
    <t>EPS2243</t>
  </si>
  <si>
    <t>137 Units</t>
  </si>
  <si>
    <t>133 Units</t>
  </si>
  <si>
    <t>EPS2100</t>
  </si>
  <si>
    <t>26 Units</t>
  </si>
  <si>
    <t>EPS1252</t>
  </si>
  <si>
    <t>EPS2365</t>
  </si>
  <si>
    <t>66 Units</t>
  </si>
  <si>
    <t>Hub</t>
  </si>
  <si>
    <t>65 Units</t>
  </si>
  <si>
    <t xml:space="preserve">5339
5339T (Tomicki, Tower 1)
5339O (Odlin, Tower 2)
</t>
  </si>
  <si>
    <t>EPS2415</t>
  </si>
  <si>
    <t xml:space="preserve">$200.00
</t>
  </si>
  <si>
    <t>LMS3837</t>
  </si>
  <si>
    <t>HOTEL SECTION</t>
  </si>
  <si>
    <t>EPS2430</t>
  </si>
  <si>
    <t>42 Res, 
2 Comm</t>
  </si>
  <si>
    <t>Building Supervisor: Julio Chavez, monarchlean@shaw.ca, 604-729-6034</t>
  </si>
  <si>
    <t>EPS2668</t>
  </si>
  <si>
    <t>EPS2592</t>
  </si>
  <si>
    <t>NORMAC
YEAR 3 of 3</t>
  </si>
  <si>
    <t>EPS2573</t>
  </si>
  <si>
    <t>EPS2809</t>
  </si>
  <si>
    <t>295 Res</t>
  </si>
  <si>
    <t xml:space="preserve">5358
5358-A (7088 14th Ave., Bldg. A)
5358-B (7058 14th Ave., Bldg. B)
</t>
  </si>
  <si>
    <t>EPS2933</t>
  </si>
  <si>
    <t>EPS2505</t>
  </si>
  <si>
    <t>29 Units</t>
  </si>
  <si>
    <t>Caretaker:
Jun Guevarra
jun@linis.ca</t>
  </si>
  <si>
    <t>EPS2572</t>
  </si>
  <si>
    <t>167 Units
Phases 1-8</t>
  </si>
  <si>
    <t>phases not complete</t>
  </si>
  <si>
    <t>LMS1755</t>
  </si>
  <si>
    <t>NORMAC
YEAR 2 of 3</t>
  </si>
  <si>
    <t>LMS1435</t>
  </si>
  <si>
    <t>16 Res, 2 Comm</t>
  </si>
  <si>
    <t>$200
(effective July 11, 2018)</t>
  </si>
  <si>
    <t>EPS2420</t>
  </si>
  <si>
    <t>341 Units, 2 Phases
Phase 1 - 143
Phase 2 - 198</t>
  </si>
  <si>
    <t>NORMAC
YEAR 1 of 3</t>
  </si>
  <si>
    <t>$100
$250 for statutory holidays
This is not to be undertaken, it’s paid directly to the Concierge Company</t>
  </si>
  <si>
    <t>$100
This is not to be undertaken, it’s paid directly to the Concierge Company</t>
  </si>
  <si>
    <t>EPS1911</t>
  </si>
  <si>
    <t>360 Units</t>
  </si>
  <si>
    <t>BCS1345</t>
  </si>
  <si>
    <t>113 Units</t>
  </si>
  <si>
    <t>5369
5369-A: 508 West 29th Avenue
5369-B: 505 West 30th Avenue
5369-C: 4539 Cambie Street</t>
  </si>
  <si>
    <t>EPS3127</t>
  </si>
  <si>
    <t>158 Units</t>
  </si>
  <si>
    <t xml:space="preserve">5370
5370-1 (Phase 1)
5370-2 (Phase 2)
</t>
  </si>
  <si>
    <t>EPS3217</t>
  </si>
  <si>
    <t>Phase 1 - 49
Phase 2 - 66</t>
  </si>
  <si>
    <t>BCS4321</t>
  </si>
  <si>
    <t>EPS3436</t>
  </si>
  <si>
    <t>249 Units</t>
  </si>
  <si>
    <t>5377
5377-1
5377-2</t>
  </si>
  <si>
    <t>EPS3602</t>
  </si>
  <si>
    <t>434 Units</t>
  </si>
  <si>
    <t>$200.00
$100.00 furnished</t>
  </si>
  <si>
    <t>BCS3558</t>
  </si>
  <si>
    <t>28 Units</t>
  </si>
  <si>
    <t>NO</t>
  </si>
  <si>
    <t>NW1321</t>
  </si>
  <si>
    <t>5380
5380-A: Building A
5380-BC: Building B/C</t>
  </si>
  <si>
    <t>EPS3495</t>
  </si>
  <si>
    <t>230 Units</t>
  </si>
  <si>
    <t xml:space="preserve">$200.00
Move fee only $100 for furnished suites
</t>
  </si>
  <si>
    <t>200
Move fee only $100 for furnished suites</t>
  </si>
  <si>
    <t>EPS3719</t>
  </si>
  <si>
    <t>SR</t>
  </si>
  <si>
    <t>$200
$300 Damage Deposit</t>
  </si>
  <si>
    <t>$100
$300 Damage Deposit</t>
  </si>
  <si>
    <t>RIVA CLUB</t>
  </si>
  <si>
    <t>EPS3492</t>
  </si>
  <si>
    <t>161 Units
(Phases 1-8)</t>
  </si>
  <si>
    <t>EPS3859</t>
  </si>
  <si>
    <t>EPS3767</t>
  </si>
  <si>
    <t>ACCOUNTING</t>
  </si>
  <si>
    <t>EPS2876</t>
  </si>
  <si>
    <t>MC/TL</t>
  </si>
  <si>
    <t>$200.00
(additional $100 during stat holidays)</t>
  </si>
  <si>
    <t>5389
(5164-10)</t>
  </si>
  <si>
    <t>APARTMENT SECTION</t>
  </si>
  <si>
    <t xml:space="preserve">NORMAC
Year 3 of 3
</t>
  </si>
  <si>
    <t>5390
(5164-10)</t>
  </si>
  <si>
    <t>TOWNHOME SECTION</t>
  </si>
  <si>
    <t>EPS3643</t>
  </si>
  <si>
    <t>45 Units</t>
  </si>
  <si>
    <t>41 Units</t>
  </si>
  <si>
    <t>RESIDENTIAL</t>
  </si>
  <si>
    <t>COMMERCIAL</t>
  </si>
  <si>
    <t>EPS2593</t>
  </si>
  <si>
    <t>LMS2933</t>
  </si>
  <si>
    <t>EPS3984</t>
  </si>
  <si>
    <t>23 Units</t>
  </si>
  <si>
    <t>EPS3524</t>
  </si>
  <si>
    <t>RENTAL
LMS1388</t>
  </si>
  <si>
    <t>153 Units</t>
  </si>
  <si>
    <t xml:space="preserve">Cathy Groenveld 
Telephone #: 604-853-0549 
Email: CGroenve@ranchogroup.com </t>
  </si>
  <si>
    <t>RENTAL</t>
  </si>
  <si>
    <t>WITH THE STRATA, WE ONLY MANAGE THE RM UNITS</t>
  </si>
  <si>
    <t>AA</t>
  </si>
  <si>
    <t>Done through Strata</t>
  </si>
  <si>
    <t>FRASER APARTMENTS
6462 Fraser Street
Vancouver, BC
V5W 3A4</t>
  </si>
  <si>
    <t>4 Studios
12 - 1 BR
16 Units</t>
  </si>
  <si>
    <t>Ann Cawthra
204-6462 Fraser Street
Vancouver, BC V5W 3A4
Phone: 604-321-3921</t>
  </si>
  <si>
    <t xml:space="preserve">Pete Duchesne
604-802-7150 (do not give out)
Email: pduchesne@allbrightservices.ca
</t>
  </si>
  <si>
    <t>No strata insurance</t>
  </si>
  <si>
    <t xml:space="preserve">
75 Units</t>
  </si>
  <si>
    <t>SFU Rentals
9191 University Crescent
Burnaby, BC
V5A 0A1</t>
  </si>
  <si>
    <t>KH</t>
  </si>
  <si>
    <t>EPS4685</t>
  </si>
  <si>
    <t>BCS4064</t>
  </si>
  <si>
    <t>105 Units</t>
  </si>
  <si>
    <t>BCS4265</t>
  </si>
  <si>
    <t>PARK AVENUE CLUB</t>
  </si>
  <si>
    <t>5506
5506-TH</t>
  </si>
  <si>
    <t>EPS4147</t>
  </si>
  <si>
    <t>312 Units</t>
  </si>
  <si>
    <t>EPS2833</t>
  </si>
  <si>
    <t>163 Units</t>
  </si>
  <si>
    <t>BCS2321</t>
  </si>
  <si>
    <t>EPS2409</t>
  </si>
  <si>
    <t>MET AMENITIES</t>
  </si>
  <si>
    <t>EPS4409</t>
  </si>
  <si>
    <t>EPS4248</t>
  </si>
  <si>
    <t>BCS4360</t>
  </si>
  <si>
    <t>LMS3970</t>
  </si>
  <si>
    <t>21 Units</t>
  </si>
  <si>
    <t>EPS4242</t>
  </si>
  <si>
    <t>67 Units</t>
  </si>
  <si>
    <t>62 Res</t>
  </si>
  <si>
    <t>5 Comm</t>
  </si>
  <si>
    <t>THE SPOT REMAINDER</t>
  </si>
  <si>
    <t>EPS3584</t>
  </si>
  <si>
    <t>166 Units</t>
  </si>
  <si>
    <t>EPS4403</t>
  </si>
  <si>
    <t>462 Units</t>
  </si>
  <si>
    <t>$125 administrative fee</t>
  </si>
  <si>
    <t>EPS4454</t>
  </si>
  <si>
    <t>181 Units</t>
  </si>
  <si>
    <t>5523
5523-A
5523-B</t>
  </si>
  <si>
    <t>EPS3752</t>
  </si>
  <si>
    <t>Phase 1 - 127 Units
Phase 2 - 194 Units</t>
  </si>
  <si>
    <t>5525
5525-1a Alderbridge
5525-1c Cedarbridge
5525-2A</t>
  </si>
  <si>
    <t>EPS4199</t>
  </si>
  <si>
    <t>Phase 1 - 129 Res, 3 Com
Phase 2 - 108 Res</t>
  </si>
  <si>
    <t>Phase 1 - 129 Res
Phase 2 - 108 Res</t>
  </si>
  <si>
    <t>3 Comm Units</t>
  </si>
  <si>
    <t>Hector Aguilar
778-879-1522
haguilar@allbrightservices.ca</t>
  </si>
  <si>
    <t>EPS4250</t>
  </si>
  <si>
    <t>&gt;48h in advance: 
$150.00
24h-48h in advance: $200.00
&lt;24H in advance:
$300.00
&lt;24h in advance: 
$300.00</t>
  </si>
  <si>
    <t>EPS4329</t>
  </si>
  <si>
    <t>134 Units</t>
  </si>
  <si>
    <t>TBA</t>
  </si>
  <si>
    <t>EPS3583</t>
  </si>
  <si>
    <t>EPS4547</t>
  </si>
  <si>
    <t>EPS4169</t>
  </si>
  <si>
    <t>EPS4078</t>
  </si>
  <si>
    <t>FINANCIAL CONTRACT</t>
  </si>
  <si>
    <t>LMS2412</t>
  </si>
  <si>
    <t>46 Res
4 Comm</t>
  </si>
  <si>
    <t>SECTIONS</t>
  </si>
  <si>
    <t>EPS3494</t>
  </si>
  <si>
    <t>170 Res</t>
  </si>
  <si>
    <t xml:space="preserve">DIAMOND CLUB
8988 Patterson Road
Richmond, BC
V6X 0R2
</t>
  </si>
  <si>
    <t>EPS4575</t>
  </si>
  <si>
    <t>EPS3680</t>
  </si>
  <si>
    <t>BCS3944</t>
  </si>
  <si>
    <t>EPS4725</t>
  </si>
  <si>
    <t>EPS3675</t>
  </si>
  <si>
    <t>Phase 1 - 19
Phase 2 - 87</t>
  </si>
  <si>
    <t>5547
5547E
5547W</t>
  </si>
  <si>
    <t>EPS4185</t>
  </si>
  <si>
    <t>EPS4809</t>
  </si>
  <si>
    <t>45 TH</t>
  </si>
  <si>
    <t>Way Point</t>
  </si>
  <si>
    <t>EPS4801</t>
  </si>
  <si>
    <t xml:space="preserve">119 - Residential 
5 - Commercial
Total - 124 </t>
  </si>
  <si>
    <t>$200 ($100 DD)</t>
  </si>
  <si>
    <t>$0 ($100 DD)</t>
  </si>
  <si>
    <t>119 Residential Units</t>
  </si>
  <si>
    <t>NW1668</t>
  </si>
  <si>
    <t>58 Residential Units</t>
  </si>
  <si>
    <t>EPS1326</t>
  </si>
  <si>
    <t>72 Residential Units</t>
  </si>
  <si>
    <t>EPS4986</t>
  </si>
  <si>
    <t>63 Residential Units</t>
  </si>
  <si>
    <t xml:space="preserve">5555
</t>
  </si>
  <si>
    <t>EPS4774</t>
  </si>
  <si>
    <t>83 Residential Units</t>
  </si>
  <si>
    <t>5556
5556A
5556B
5556C</t>
  </si>
  <si>
    <t>EPS3982</t>
  </si>
  <si>
    <t>493 Residential Units</t>
  </si>
  <si>
    <t>EPS3663</t>
  </si>
  <si>
    <t>61 Residential Units</t>
  </si>
  <si>
    <t>EPS5100</t>
  </si>
  <si>
    <t>102 Residential Units</t>
  </si>
  <si>
    <t>EPS4811</t>
  </si>
  <si>
    <t xml:space="preserve">Phase 1 - 25
Phase 2 - 16
Phase 3 - 19
Phase 4 - 26
Phase 5 - 38
Phase 6 - 26
Phase 7 - 28
Phase 8 - 29
Phase 9 - 25
Phase 10 - 22
Phase 11 - 24
Phase 12 - 24
TOTAL - 302
</t>
  </si>
  <si>
    <t>EPS2546</t>
  </si>
  <si>
    <t>210 Units</t>
  </si>
  <si>
    <t>EPS4686</t>
  </si>
  <si>
    <t xml:space="preserve">89 Units
80 Residential 
9 Commercial </t>
  </si>
  <si>
    <t xml:space="preserve">80 Residential 
</t>
  </si>
  <si>
    <t>NW2361</t>
  </si>
  <si>
    <t xml:space="preserve">76 Residential </t>
  </si>
  <si>
    <t>Move out fee: N/A
Damage Deposit: $100.00</t>
  </si>
  <si>
    <t>EPS4092</t>
  </si>
  <si>
    <t>115 Residential Units</t>
  </si>
  <si>
    <t>BCS2284</t>
  </si>
  <si>
    <t>60 Res
1 Comm</t>
  </si>
  <si>
    <t>NORMAL - Treat as one entity</t>
  </si>
  <si>
    <t>EPS3444</t>
  </si>
  <si>
    <t>134 Residential Units</t>
  </si>
  <si>
    <t xml:space="preserve">Building Caretaker: Jase – Burrard Maintenance
Email: 188keefermanager@gmail.com 
Tel: 604-837-3806
</t>
  </si>
  <si>
    <t>BCS1217</t>
  </si>
  <si>
    <t>118 Residential Units</t>
  </si>
  <si>
    <t>Cleaner/Caretaker: Roman Klima
Tel: 778-995-0279
Email: klima_romankl@hotmail.com</t>
  </si>
  <si>
    <t>EPS4924</t>
  </si>
  <si>
    <t>176 Residential Units</t>
  </si>
  <si>
    <t>$150 
$250 damage deposit</t>
  </si>
  <si>
    <t>$150 
 $250 damage deposit</t>
  </si>
  <si>
    <t>EPS5144</t>
  </si>
  <si>
    <t>458 Residential Units</t>
  </si>
  <si>
    <t>5 Commercial Units</t>
  </si>
  <si>
    <t>EPS5474</t>
  </si>
  <si>
    <t>65 Residential Units
4 Commercial Units</t>
  </si>
  <si>
    <t>65 Residential Units</t>
  </si>
  <si>
    <t>130 Units</t>
  </si>
  <si>
    <t>EPS5252</t>
  </si>
  <si>
    <t>58 units</t>
  </si>
  <si>
    <t>EPS5366</t>
  </si>
  <si>
    <t>9 units</t>
  </si>
  <si>
    <t>EPS5466</t>
  </si>
  <si>
    <t>20 units</t>
  </si>
  <si>
    <t>EPS5632</t>
  </si>
  <si>
    <t>54 units</t>
  </si>
  <si>
    <t>HUB International
(32988 South Fraser Way branch)</t>
  </si>
  <si>
    <t>EPS5550</t>
  </si>
  <si>
    <t>218 units</t>
  </si>
  <si>
    <t>EPS5625</t>
  </si>
  <si>
    <t>67 units</t>
  </si>
  <si>
    <t>EPS5493</t>
  </si>
  <si>
    <t>66 units</t>
  </si>
  <si>
    <t>EPS5263</t>
  </si>
  <si>
    <t>4 TH</t>
  </si>
  <si>
    <t>EPS4056</t>
  </si>
  <si>
    <t>293 Units</t>
  </si>
  <si>
    <t>EPS5617</t>
  </si>
  <si>
    <t>69 Units</t>
  </si>
  <si>
    <t>EPS5883</t>
  </si>
  <si>
    <t>VR1570</t>
  </si>
  <si>
    <t>49 Res
17 Com</t>
  </si>
  <si>
    <t>EPS5932</t>
  </si>
  <si>
    <t>EPS6047</t>
  </si>
  <si>
    <t>169 Units</t>
  </si>
  <si>
    <t>BFL Canada</t>
  </si>
  <si>
    <t>5593
5593-C</t>
  </si>
  <si>
    <t>LMS3818</t>
  </si>
  <si>
    <t xml:space="preserve">Building Manager: Aaron Whynder
604-339-6639 (ok to give out)
Edge.caretaker@live.com 
</t>
  </si>
  <si>
    <t>5594
5594N - 89 Nelson Street
5594S - 87 Nelson Street</t>
  </si>
  <si>
    <t>EPS5890</t>
  </si>
  <si>
    <t>560 Units</t>
  </si>
  <si>
    <t>EPS5579</t>
  </si>
  <si>
    <t>398 Units</t>
  </si>
  <si>
    <t>EPS6022</t>
  </si>
  <si>
    <t>EPS6023</t>
  </si>
  <si>
    <t>292 Units</t>
  </si>
  <si>
    <t>THE ARC COMMERCIAL</t>
  </si>
  <si>
    <t>ASP</t>
  </si>
  <si>
    <t>EPS6207</t>
  </si>
  <si>
    <t>LMS2792</t>
  </si>
  <si>
    <t>6 TH</t>
  </si>
  <si>
    <t>EPS4769</t>
  </si>
  <si>
    <t>VR2681</t>
  </si>
  <si>
    <t>EPS5212</t>
  </si>
  <si>
    <t>14 Units</t>
  </si>
  <si>
    <t>EPS2328</t>
  </si>
  <si>
    <t>189 Units</t>
  </si>
  <si>
    <t>EPS4950</t>
  </si>
  <si>
    <t>Building A - 60 Units
Building C - 61 Units
Building B- 62 Units
183 Total Units</t>
  </si>
  <si>
    <t>EPS6235</t>
  </si>
  <si>
    <t>Phase 1 - 20
Phase 2 - 23
Phase 3 - 24
Phase 4 - 14
Phase 5 - 24
Phase 6 - 25
130 Total Units</t>
  </si>
  <si>
    <t>EPS6391</t>
  </si>
  <si>
    <t>38 Units
(not a phased strata)</t>
  </si>
  <si>
    <t>LMS2058</t>
  </si>
  <si>
    <t>NW1581</t>
  </si>
  <si>
    <t xml:space="preserve">102 Units </t>
  </si>
  <si>
    <t>EPS6099</t>
  </si>
  <si>
    <t>340 Units</t>
  </si>
  <si>
    <t>EPS6482</t>
  </si>
  <si>
    <t xml:space="preserve">94 Units
</t>
  </si>
  <si>
    <t>EPS5950</t>
  </si>
  <si>
    <t>Phase One - 20
Phase Two - 20
Total is 40 Units</t>
  </si>
  <si>
    <t>EPS6236</t>
  </si>
  <si>
    <t xml:space="preserve">23 TH Units </t>
  </si>
  <si>
    <t>SOUTH ESTATES SAS (SEXSMITH ARTIST STUDIOS) UNITS</t>
  </si>
  <si>
    <t xml:space="preserve">4 Units </t>
  </si>
  <si>
    <t>EPS6618</t>
  </si>
  <si>
    <t>EPS6050</t>
  </si>
  <si>
    <t>88 Units</t>
  </si>
  <si>
    <t>EPS6637</t>
  </si>
  <si>
    <t>Phase One - 21
Phase Two - 23
Phase Three - 18
Phase Four - 18
Total is 80 Units</t>
  </si>
  <si>
    <t>EPS6483</t>
  </si>
  <si>
    <t>LMS2440</t>
  </si>
  <si>
    <t>53 Units</t>
  </si>
  <si>
    <t>EPS6514</t>
  </si>
  <si>
    <t>EPS6681</t>
  </si>
  <si>
    <t>EPS6816</t>
  </si>
  <si>
    <t>33 Residential Units
7 Commercial Units
TOTAL = 40 Units</t>
  </si>
  <si>
    <t>EPS6717</t>
  </si>
  <si>
    <t>16 Residential Units
2 Commercial Units
TOTAL = 18 Units</t>
  </si>
  <si>
    <r>
      <rPr>
        <b/>
        <sz val="9"/>
        <rFont val="Calibri"/>
        <family val="2"/>
      </rPr>
      <t>EXECUTIVE HOTELS  (RESIDENTIAL)</t>
    </r>
    <r>
      <rPr>
        <sz val="9"/>
        <rFont val="Calibri"/>
        <family val="2"/>
      </rPr>
      <t xml:space="preserve">
5911 Alderbridge 
Richmond, BC
V6X 1A3</t>
    </r>
  </si>
  <si>
    <r>
      <rPr>
        <b/>
        <sz val="9"/>
        <rFont val="Calibri"/>
        <family val="2"/>
      </rPr>
      <t>AUGUSTA GROVE</t>
    </r>
    <r>
      <rPr>
        <sz val="9"/>
        <rFont val="Calibri"/>
        <family val="2"/>
      </rPr>
      <t xml:space="preserve">
1690 Augusta Avenue (A)
1750 Augusta Avenue (B)
Burnaby, BC
V5A 2V6</t>
    </r>
  </si>
  <si>
    <r>
      <rPr>
        <b/>
        <sz val="9"/>
        <rFont val="Calibri"/>
        <family val="2"/>
      </rPr>
      <t>VR1853</t>
    </r>
    <r>
      <rPr>
        <sz val="9"/>
        <rFont val="Calibri"/>
        <family val="2"/>
      </rPr>
      <t xml:space="preserve">
1200 West 10th Avenue
Vancouver, BC
V6H 1J3</t>
    </r>
  </si>
  <si>
    <r>
      <rPr>
        <b/>
        <sz val="9"/>
        <rFont val="Calibri"/>
        <family val="2"/>
      </rPr>
      <t>FISHER GARDENS</t>
    </r>
    <r>
      <rPr>
        <sz val="9"/>
        <rFont val="Calibri"/>
        <family val="2"/>
      </rPr>
      <t xml:space="preserve">
4933 Fisher Drive
Richmond, BC
V6X 3Z2</t>
    </r>
  </si>
  <si>
    <r>
      <rPr>
        <b/>
        <sz val="9"/>
        <rFont val="Calibri"/>
        <family val="2"/>
      </rPr>
      <t>THE CLARKSON</t>
    </r>
    <r>
      <rPr>
        <sz val="9"/>
        <rFont val="Calibri"/>
        <family val="2"/>
      </rPr>
      <t xml:space="preserve">
680 Clarkson Street
New Westminster, BC
V3M 6X9</t>
    </r>
  </si>
  <si>
    <r>
      <rPr>
        <b/>
        <sz val="9"/>
        <color indexed="60"/>
        <rFont val="Calibri"/>
        <family val="2"/>
      </rPr>
      <t>THE AQUARIUS COMMERCIAL</t>
    </r>
    <r>
      <rPr>
        <sz val="9"/>
        <color indexed="60"/>
        <rFont val="Calibri"/>
        <family val="2"/>
      </rPr>
      <t xml:space="preserve">
1108-1196 Pacific Blvd. 
125-179 Davie Street
1137 &amp; 1177 Marinaside Crescent</t>
    </r>
  </si>
  <si>
    <r>
      <rPr>
        <b/>
        <sz val="9"/>
        <rFont val="Calibri"/>
        <family val="2"/>
      </rPr>
      <t>CONCORDIA I (COMMERCIAL)</t>
    </r>
    <r>
      <rPr>
        <sz val="9"/>
        <rFont val="Calibri"/>
        <family val="2"/>
      </rPr>
      <t xml:space="preserve">
1262-1298 Pacific Blvd.
Vancouver, BC
V6Z 2V1</t>
    </r>
  </si>
  <si>
    <r>
      <rPr>
        <b/>
        <sz val="9"/>
        <rFont val="Calibri"/>
        <family val="2"/>
      </rPr>
      <t>PORTOFINO (RESIDENTIAL)</t>
    </r>
    <r>
      <rPr>
        <sz val="9"/>
        <rFont val="Calibri"/>
        <family val="2"/>
      </rPr>
      <t xml:space="preserve">
1383 Howe Street
Vancouver, BC
V6Z 2R5</t>
    </r>
  </si>
  <si>
    <r>
      <rPr>
        <b/>
        <sz val="9"/>
        <color rgb="FFFF0000"/>
        <rFont val="Calibri"/>
        <family val="2"/>
      </rPr>
      <t>MARINAPOINTE (JOINT)
THE WATERWORKS
YALETOWN LIMITED EDITION
LANDMARK 33</t>
    </r>
    <r>
      <rPr>
        <sz val="9"/>
        <color rgb="FFFF0000"/>
        <rFont val="Calibri"/>
        <family val="2"/>
      </rPr>
      <t xml:space="preserve">
1008 &amp; 1018 Cambie Street
1009 Expo Blvd.
168/1082/1088 Cambie Street V6B 6J5
168/188/198 Nelson Street V6B 6J8
Vancouver, BC</t>
    </r>
  </si>
  <si>
    <r>
      <rPr>
        <b/>
        <sz val="9"/>
        <color indexed="10"/>
        <rFont val="Calibri"/>
        <family val="2"/>
      </rPr>
      <t>MARINAPOINTE (RESIDENTIAL)
THE WATERWORKS
YALETOWN LIMITED EDITION
LANDMARK 33</t>
    </r>
    <r>
      <rPr>
        <sz val="9"/>
        <color indexed="10"/>
        <rFont val="Calibri"/>
        <family val="2"/>
      </rPr>
      <t xml:space="preserve">
1008 Cambie Street V6B 6J7
1018 Cambie Street V6B 6J8
1009 Expo Blvd V6Z 2V9
Vancouver, BC</t>
    </r>
  </si>
  <si>
    <r>
      <rPr>
        <b/>
        <sz val="9"/>
        <color indexed="10"/>
        <rFont val="Calibri"/>
        <family val="2"/>
      </rPr>
      <t>THE PENINSULA (COMMERCIAL)</t>
    </r>
    <r>
      <rPr>
        <sz val="9"/>
        <color indexed="10"/>
        <rFont val="Calibri"/>
        <family val="2"/>
      </rPr>
      <t xml:space="preserve">
138/136/130/126/120/116/110 Davie Street
Vancouver, BC
V6Z 2V4</t>
    </r>
  </si>
  <si>
    <r>
      <rPr>
        <b/>
        <sz val="9"/>
        <color indexed="10"/>
        <rFont val="Calibri"/>
        <family val="2"/>
      </rPr>
      <t>MARINAPOINTE (COMMERCIAL)
THE WATERWORKS
YALETOWN LIMITED EDITION
LANDMARK 33</t>
    </r>
    <r>
      <rPr>
        <sz val="9"/>
        <color indexed="10"/>
        <rFont val="Calibri"/>
        <family val="2"/>
      </rPr>
      <t xml:space="preserve">
1088 Cambie Street V6B 6J5
188 Nelson Street V6B 6J8
Vancouver, BC</t>
    </r>
  </si>
  <si>
    <r>
      <t xml:space="preserve">LA FRONTENAC
</t>
    </r>
    <r>
      <rPr>
        <sz val="9"/>
        <rFont val="Calibri"/>
        <family val="2"/>
      </rPr>
      <t>6500 Chambord Place
Vancouver, BC
V5S 4P2</t>
    </r>
    <r>
      <rPr>
        <b/>
        <sz val="9"/>
        <rFont val="Calibri"/>
        <family val="2"/>
      </rPr>
      <t xml:space="preserve">
</t>
    </r>
  </si>
  <si>
    <r>
      <rPr>
        <b/>
        <sz val="9"/>
        <color indexed="10"/>
        <rFont val="Calibri"/>
        <family val="2"/>
      </rPr>
      <t>MARINASIDE RESORT RESIDENCES - JOINT</t>
    </r>
    <r>
      <rPr>
        <sz val="9"/>
        <color indexed="10"/>
        <rFont val="Calibri"/>
        <family val="2"/>
      </rPr>
      <t xml:space="preserve">
D-193 Aquarius Mews V6Z 2Z2 (5061-1)
E-1077 Marinaside Crescent V6Z 2Z5  (5061-2)
N-1099 Marinaside Crescent V6Z 2Z3 (5061-3)
123/133/163/183 Aquarius Mews V6Z 2Z1
128/168/178/188/198 Boathouse Mews V6Z 2Z6 (5061-4)
1090 Pacific Boulevard - Concierge</t>
    </r>
  </si>
  <si>
    <r>
      <rPr>
        <b/>
        <sz val="9"/>
        <color indexed="10"/>
        <rFont val="Calibri"/>
        <family val="2"/>
      </rPr>
      <t>MARINASIDE RESORT RESIDENCES - COMMERCIAL SECTION</t>
    </r>
    <r>
      <rPr>
        <sz val="9"/>
        <color indexed="10"/>
        <rFont val="Calibri"/>
        <family val="2"/>
      </rPr>
      <t xml:space="preserve">
D-193 Aquarius Mews V6Z 2Z2 (5061-1)
E-1077 Marinaside Crescent V6Z 2Z5  (5061-2)
N-1099 Marinaside Crescent V6Z 2Z3 (5061-3)
123/133/163/183 Aquarius Mews V6Z 2Z1
128/168/178/188/198 Boathouse Mews V6Z 2Z6 (5061-4)
1090 Pacific Boulevard - Concierge</t>
    </r>
  </si>
  <si>
    <r>
      <rPr>
        <b/>
        <sz val="9"/>
        <rFont val="Calibri"/>
        <family val="2"/>
      </rPr>
      <t>CAMBRIDGE PLACE</t>
    </r>
    <r>
      <rPr>
        <sz val="9"/>
        <rFont val="Calibri"/>
        <family val="2"/>
      </rPr>
      <t xml:space="preserve">
555 West 14th Avenue
Vancouver, BC
V6Z 4G8</t>
    </r>
  </si>
  <si>
    <r>
      <rPr>
        <b/>
        <sz val="9"/>
        <rFont val="Calibri"/>
        <family val="2"/>
      </rPr>
      <t>BLUE JAY HILLS</t>
    </r>
    <r>
      <rPr>
        <sz val="9"/>
        <rFont val="Calibri"/>
        <family val="2"/>
      </rPr>
      <t xml:space="preserve">
3270 Blue Jay St., V2T 6T1
30857 Sandpiper Dr., V2T 6X3
Abbotsford, BC
</t>
    </r>
  </si>
  <si>
    <r>
      <rPr>
        <b/>
        <sz val="9"/>
        <rFont val="Calibri"/>
        <family val="2"/>
      </rPr>
      <t>AVONLEA HEIGHTS</t>
    </r>
    <r>
      <rPr>
        <sz val="9"/>
        <rFont val="Calibri"/>
        <family val="2"/>
      </rPr>
      <t xml:space="preserve">
3060 Plateau Crescent
Coquitlam, BC
V3E 3B3</t>
    </r>
  </si>
  <si>
    <r>
      <rPr>
        <b/>
        <sz val="9"/>
        <rFont val="Calibri"/>
        <family val="2"/>
      </rPr>
      <t>SHAWNOAKS</t>
    </r>
    <r>
      <rPr>
        <sz val="9"/>
        <rFont val="Calibri"/>
        <family val="2"/>
      </rPr>
      <t xml:space="preserve">
5505-5585 Oak Street
Vancouver, BC
V6M 2V5
5087-05
5087-15
5087-25
5087-35
5087-45
5087-55
5087-65
5087-75
5087-85 – For all Shawnoaks units; 5505 – 5585 Oak Street, Vancouver, BC V6M 2V5.  To clarify a bit, in Newstar, you would have to type in 5087 and the last 2 digits of the street address and then in Unit, you type in the single digit unit.
</t>
    </r>
  </si>
  <si>
    <r>
      <rPr>
        <b/>
        <sz val="9"/>
        <rFont val="Calibri"/>
        <family val="2"/>
      </rPr>
      <t>GOLDEN LEAF TOWERS I &amp; II</t>
    </r>
    <r>
      <rPr>
        <sz val="9"/>
        <rFont val="Calibri"/>
        <family val="2"/>
      </rPr>
      <t xml:space="preserve">
7700 Granville Avenue V6Y 4C1
7680 Granville Avenue (Tower I) V6Y 4B9
7760 Granville Avenue (Tower II) V6Y 4C2
Richmond, BC</t>
    </r>
  </si>
  <si>
    <r>
      <rPr>
        <b/>
        <sz val="9"/>
        <rFont val="Calibri"/>
        <family val="2"/>
      </rPr>
      <t>THE GRAFTON (JOINT)</t>
    </r>
    <r>
      <rPr>
        <sz val="9"/>
        <rFont val="Calibri"/>
        <family val="2"/>
      </rPr>
      <t xml:space="preserve">
1238 Homer Street
Vancouver, BC
V6B 2Y5
5103R for residential
5103C for commercial
</t>
    </r>
  </si>
  <si>
    <r>
      <rPr>
        <b/>
        <sz val="9"/>
        <color indexed="60"/>
        <rFont val="Calibri"/>
        <family val="2"/>
      </rPr>
      <t>QUAYSIDE MARINA</t>
    </r>
    <r>
      <rPr>
        <sz val="9"/>
        <color indexed="60"/>
        <rFont val="Calibri"/>
        <family val="2"/>
      </rPr>
      <t xml:space="preserve">
1088 Marinaside Crescent
Vancouver, BC
V6Z 3C4</t>
    </r>
  </si>
  <si>
    <r>
      <rPr>
        <b/>
        <sz val="9"/>
        <rFont val="Calibri"/>
        <family val="2"/>
        <scheme val="minor"/>
      </rPr>
      <t>SOMMERTON</t>
    </r>
    <r>
      <rPr>
        <sz val="9"/>
        <rFont val="Calibri"/>
        <family val="2"/>
        <scheme val="minor"/>
      </rPr>
      <t xml:space="preserve">
4711 BLAIR DRIVE
RICHMOND, BC</t>
    </r>
  </si>
  <si>
    <r>
      <t xml:space="preserve">MARINA PARKADE
</t>
    </r>
    <r>
      <rPr>
        <sz val="9"/>
        <color indexed="60"/>
        <rFont val="Calibri"/>
        <family val="2"/>
      </rPr>
      <t>1011 Marinaside Crescent
Vancouver, BC</t>
    </r>
  </si>
  <si>
    <r>
      <rPr>
        <b/>
        <sz val="9"/>
        <color indexed="60"/>
        <rFont val="Calibri"/>
        <family val="2"/>
      </rPr>
      <t>WEST ONE</t>
    </r>
    <r>
      <rPr>
        <sz val="9"/>
        <color indexed="60"/>
        <rFont val="Calibri"/>
        <family val="2"/>
      </rPr>
      <t xml:space="preserve">
1408 Strathmore Mews North
Vancouver, BC
V6Z 3A9</t>
    </r>
  </si>
  <si>
    <r>
      <rPr>
        <b/>
        <sz val="9"/>
        <color indexed="60"/>
        <rFont val="Calibri"/>
        <family val="2"/>
      </rPr>
      <t>ONE AMENITY ROOM - CLUB VIVA</t>
    </r>
    <r>
      <rPr>
        <sz val="9"/>
        <color indexed="60"/>
        <rFont val="Calibri"/>
        <family val="2"/>
      </rPr>
      <t xml:space="preserve">
428 Pacific Street
Vancouver, BC
V6Z 3G9</t>
    </r>
  </si>
  <si>
    <r>
      <rPr>
        <b/>
        <sz val="9"/>
        <color indexed="60"/>
        <rFont val="Calibri"/>
        <family val="2"/>
      </rPr>
      <t>THE CONCORD</t>
    </r>
    <r>
      <rPr>
        <sz val="9"/>
        <color indexed="60"/>
        <rFont val="Calibri"/>
        <family val="2"/>
      </rPr>
      <t xml:space="preserve">
1328 Marinaside Crescent
Vancouver, BC
V6Z 3B3</t>
    </r>
  </si>
  <si>
    <r>
      <rPr>
        <b/>
        <sz val="9"/>
        <color indexed="60"/>
        <rFont val="Calibri"/>
        <family val="2"/>
      </rPr>
      <t>THE WATERFORD</t>
    </r>
    <r>
      <rPr>
        <sz val="9"/>
        <color indexed="60"/>
        <rFont val="Calibri"/>
        <family val="2"/>
      </rPr>
      <t xml:space="preserve">
1483 Homer Street
403-423 Beach Crescent
1495-1485 Homer Street
Vancouver, BC
V6Z 3C7</t>
    </r>
  </si>
  <si>
    <r>
      <rPr>
        <b/>
        <sz val="9"/>
        <rFont val="Calibri"/>
        <family val="2"/>
      </rPr>
      <t>HEARTHSTONE</t>
    </r>
    <r>
      <rPr>
        <sz val="9"/>
        <rFont val="Calibri"/>
        <family val="2"/>
      </rPr>
      <t xml:space="preserve">
7733 Heather Street
Richmond, BC
V6Y 4J1</t>
    </r>
  </si>
  <si>
    <r>
      <rPr>
        <b/>
        <sz val="9"/>
        <color indexed="10"/>
        <rFont val="Calibri"/>
        <family val="2"/>
      </rPr>
      <t>AZURA ONE</t>
    </r>
    <r>
      <rPr>
        <sz val="9"/>
        <color indexed="10"/>
        <rFont val="Calibri"/>
        <family val="2"/>
      </rPr>
      <t xml:space="preserve">
1438 Richards Street
Vancouver, BC
V6Z 3B8
483-489 Beach Crescent
Vancouver, BC 
V6Z 3B9</t>
    </r>
  </si>
  <si>
    <r>
      <rPr>
        <b/>
        <sz val="9"/>
        <color rgb="FFFF0000"/>
        <rFont val="Calibri"/>
        <family val="2"/>
      </rPr>
      <t>AZURA TWO</t>
    </r>
    <r>
      <rPr>
        <sz val="9"/>
        <color rgb="FFFF0000"/>
        <rFont val="Calibri"/>
        <family val="2"/>
      </rPr>
      <t xml:space="preserve">
1495 Richards Street
Vancouver, BC
V6Z 3E3
Townhomes
503, 505, 515, 525 Beach Crescent
Vancouver, BC</t>
    </r>
  </si>
  <si>
    <r>
      <rPr>
        <b/>
        <sz val="9"/>
        <color rgb="FFFF0000"/>
        <rFont val="Calibri"/>
        <family val="2"/>
      </rPr>
      <t>SUPERCLUB</t>
    </r>
    <r>
      <rPr>
        <sz val="9"/>
        <color rgb="FFFF0000"/>
        <rFont val="Calibri"/>
        <family val="2"/>
      </rPr>
      <t xml:space="preserve">
1495 Richards Street
Vancouver, BC
V6Z 3E3</t>
    </r>
  </si>
  <si>
    <r>
      <t xml:space="preserve">L'ARIA
</t>
    </r>
    <r>
      <rPr>
        <sz val="9"/>
        <color indexed="8"/>
        <rFont val="Calibri"/>
        <family val="2"/>
      </rPr>
      <t>822 Seymour Street
Vancouver, BC
V6B 1L7</t>
    </r>
  </si>
  <si>
    <r>
      <rPr>
        <b/>
        <sz val="9"/>
        <color indexed="60"/>
        <rFont val="Calibri"/>
        <family val="2"/>
      </rPr>
      <t>TWO PARK WEST</t>
    </r>
    <r>
      <rPr>
        <sz val="9"/>
        <color indexed="60"/>
        <rFont val="Calibri"/>
        <family val="2"/>
      </rPr>
      <t xml:space="preserve">
583 Beach Crescent
Vancouver, BC V6Z 3E6
 1468, 1478, 1482, 1488 Seymour Street / 555, 567, 573, 575, 593, 595 Beach Crescent</t>
    </r>
  </si>
  <si>
    <r>
      <rPr>
        <b/>
        <sz val="9"/>
        <rFont val="Calibri"/>
        <family val="2"/>
      </rPr>
      <t>THE VICTORIA (RESIDENTIAL)</t>
    </r>
    <r>
      <rPr>
        <sz val="9"/>
        <rFont val="Calibri"/>
        <family val="2"/>
      </rPr>
      <t xml:space="preserve">
751 &amp; 789 Helmcken V6B 5R1</t>
    </r>
  </si>
  <si>
    <r>
      <rPr>
        <b/>
        <sz val="9"/>
        <rFont val="Calibri"/>
        <family val="2"/>
      </rPr>
      <t>EXECUTIVE PLACE (formerly The Victoria Commercial)</t>
    </r>
    <r>
      <rPr>
        <sz val="9"/>
        <rFont val="Calibri"/>
        <family val="2"/>
      </rPr>
      <t xml:space="preserve">
1070, 1080, 1090 Howe Street
Vancouver, BC
V6Z 1P5</t>
    </r>
  </si>
  <si>
    <r>
      <t xml:space="preserve">FREESIA (RESIDENTIAL)
</t>
    </r>
    <r>
      <rPr>
        <sz val="9"/>
        <rFont val="Calibri"/>
        <family val="2"/>
      </rPr>
      <t xml:space="preserve">1082 Seymour Street       
Vancouver, BC </t>
    </r>
    <r>
      <rPr>
        <b/>
        <sz val="9"/>
        <rFont val="Calibri"/>
        <family val="2"/>
      </rPr>
      <t xml:space="preserve">
</t>
    </r>
    <r>
      <rPr>
        <sz val="9"/>
        <rFont val="Calibri"/>
        <family val="2"/>
      </rPr>
      <t>V6B 1X9
Townhouses 
1060, 1068, 1072, 1078, 1092 Seymour St
555 &amp; 565 Helmcken St.
Vancouver, BC V6B 3M6</t>
    </r>
  </si>
  <si>
    <r>
      <rPr>
        <b/>
        <sz val="9"/>
        <rFont val="Calibri"/>
        <family val="2"/>
      </rPr>
      <t>BOHEMIA</t>
    </r>
    <r>
      <rPr>
        <sz val="9"/>
        <rFont val="Calibri"/>
        <family val="2"/>
      </rPr>
      <t xml:space="preserve">
642-690 West 6th Avenue
Vancouver, BC
V5Z 1A3</t>
    </r>
  </si>
  <si>
    <r>
      <rPr>
        <b/>
        <sz val="9"/>
        <color rgb="FFFF0000"/>
        <rFont val="Calibri"/>
        <family val="2"/>
      </rPr>
      <t>ICON</t>
    </r>
    <r>
      <rPr>
        <sz val="9"/>
        <color rgb="FFFF0000"/>
        <rFont val="Calibri"/>
        <family val="2"/>
      </rPr>
      <t xml:space="preserve">
N Tower 610 Beach Crescent V6Z 3H5
630 Beach Crescent V6Z 3H5
638 Beach Crescent V6Z 3H4    
O Tower 633 Kinghorne Mews V6Z 3H3
610, 630 Beach Crescent (Townhouse)
</t>
    </r>
  </si>
  <si>
    <r>
      <t xml:space="preserve">MURANO LOFTS
</t>
    </r>
    <r>
      <rPr>
        <sz val="9"/>
        <rFont val="Calibri"/>
        <family val="2"/>
      </rPr>
      <t>7 Rialto Court V3M 7A8
8 Renaissance Square V3M 7A9
10 Renaissance Square V3M 7B1
New Westminster, BC</t>
    </r>
  </si>
  <si>
    <r>
      <rPr>
        <b/>
        <sz val="9"/>
        <rFont val="Calibri"/>
        <family val="2"/>
      </rPr>
      <t>PERLA (COMMERCIAL)</t>
    </r>
    <r>
      <rPr>
        <sz val="9"/>
        <rFont val="Calibri"/>
        <family val="2"/>
      </rPr>
      <t xml:space="preserve">
8188 Saba Road
Richmond, BC
V6Y 4B2</t>
    </r>
  </si>
  <si>
    <r>
      <rPr>
        <b/>
        <sz val="9"/>
        <rFont val="Calibri"/>
        <family val="2"/>
      </rPr>
      <t>THE BOWMAN (JOINT)</t>
    </r>
    <r>
      <rPr>
        <sz val="9"/>
        <rFont val="Calibri"/>
        <family val="2"/>
      </rPr>
      <t xml:space="preserve">
528 Beatty Street
Vancouver, BC
V6B 2L3</t>
    </r>
  </si>
  <si>
    <r>
      <rPr>
        <b/>
        <sz val="9"/>
        <rFont val="Calibri"/>
        <family val="2"/>
      </rPr>
      <t>POMARIA</t>
    </r>
    <r>
      <rPr>
        <sz val="9"/>
        <rFont val="Calibri"/>
        <family val="2"/>
      </rPr>
      <t xml:space="preserve">
1455 Howe Street
Vancouver, BC
V6Z 1C2
1437, 1439, 1441, 1443, 1445, 1447, 1449, 1451, 1457, 1459, 1461, 1463, 1465, 1467, 1469, 1471, 1473 Howe Street / 804, 806, 808, 810 Pacific Street (Townhouses)</t>
    </r>
  </si>
  <si>
    <r>
      <rPr>
        <b/>
        <sz val="9"/>
        <rFont val="Calibri"/>
        <family val="2"/>
      </rPr>
      <t>FREESIA (COMMERCIAL)</t>
    </r>
    <r>
      <rPr>
        <sz val="9"/>
        <rFont val="Calibri"/>
        <family val="2"/>
      </rPr>
      <t xml:space="preserve">
575, 585 Helmcken Street  
 1088,1092 Seymour Street       
Vancouver, BC 
</t>
    </r>
  </si>
  <si>
    <r>
      <rPr>
        <b/>
        <sz val="9"/>
        <rFont val="Calibri"/>
        <family val="2"/>
      </rPr>
      <t>PINTURA (JOINT)</t>
    </r>
    <r>
      <rPr>
        <sz val="9"/>
        <rFont val="Calibri"/>
        <family val="2"/>
      </rPr>
      <t xml:space="preserve">
1530 West 8th Avenue
Vancouver, BC
V6J 5M6
TH:1532, 1536, 1538, 1556, 1558, 1566, 1568, 1576, 1578, and 1580 West 8th Avenue, Vancouver, BC</t>
    </r>
  </si>
  <si>
    <r>
      <rPr>
        <b/>
        <sz val="9"/>
        <color indexed="60"/>
        <rFont val="Calibri"/>
        <family val="2"/>
      </rPr>
      <t>CLUB OZONE</t>
    </r>
    <r>
      <rPr>
        <sz val="9"/>
        <color indexed="60"/>
        <rFont val="Calibri"/>
        <family val="2"/>
      </rPr>
      <t xml:space="preserve">
 111 West Georgia Street    
 Vancouver, BC   </t>
    </r>
  </si>
  <si>
    <r>
      <rPr>
        <b/>
        <sz val="9"/>
        <color indexed="60"/>
        <rFont val="Calibri"/>
        <family val="2"/>
      </rPr>
      <t>SPECTRUM 3</t>
    </r>
    <r>
      <rPr>
        <sz val="9"/>
        <color indexed="60"/>
        <rFont val="Calibri"/>
        <family val="2"/>
      </rPr>
      <t xml:space="preserve">
131 Regiment Square
101-129 Regiment Square
Vancouver, BC
V6B 1X6</t>
    </r>
  </si>
  <si>
    <r>
      <rPr>
        <b/>
        <sz val="9"/>
        <color indexed="60"/>
        <rFont val="Calibri"/>
        <family val="2"/>
      </rPr>
      <t>SPECTRUM 4</t>
    </r>
    <r>
      <rPr>
        <sz val="9"/>
        <color indexed="60"/>
        <rFont val="Calibri"/>
        <family val="2"/>
      </rPr>
      <t xml:space="preserve">
602 Citadel Parade
 133 – 139 Regiment Square     
 622 – 650 Citadel Parade
 110 – 150 Dunsmuir Street   
 Vancouver, BC    
 V6B 1X2
</t>
    </r>
  </si>
  <si>
    <r>
      <rPr>
        <b/>
        <sz val="9"/>
        <color rgb="FFFF0000"/>
        <rFont val="Calibri"/>
        <family val="2"/>
      </rPr>
      <t>INFINITY</t>
    </r>
    <r>
      <rPr>
        <sz val="9"/>
        <color rgb="FFFF0000"/>
        <rFont val="Calibri"/>
        <family val="2"/>
      </rPr>
      <t xml:space="preserve">
13618 100th Avenue
Surrey, BC
V3T 0A8</t>
    </r>
  </si>
  <si>
    <r>
      <rPr>
        <b/>
        <sz val="9"/>
        <color rgb="FFFF0000"/>
        <rFont val="Calibri"/>
        <family val="2"/>
      </rPr>
      <t>COOPERS LOOKOUT</t>
    </r>
    <r>
      <rPr>
        <sz val="9"/>
        <color rgb="FFFF0000"/>
        <rFont val="Calibri"/>
        <family val="2"/>
      </rPr>
      <t xml:space="preserve">
33 Smithe Street
Vancouver, BC
V6B 0B5
Villas: 9 Smithe Mews, V6B 0B6
TH's: 11, 17, 19, 21, 23, 27 Smithe Mews, V6B 0B6
Lofts: 29 Smithe Mews, V6B 0B6
</t>
    </r>
  </si>
  <si>
    <r>
      <rPr>
        <b/>
        <sz val="9"/>
        <color rgb="FFFF0000"/>
        <rFont val="Calibri"/>
        <family val="2"/>
      </rPr>
      <t>ESPRIT CITY CLUB</t>
    </r>
    <r>
      <rPr>
        <sz val="9"/>
        <color rgb="FFFF0000"/>
        <rFont val="Calibri"/>
        <family val="2"/>
      </rPr>
      <t xml:space="preserve">
33 Smithe Street
Vancouver, BC
V6B 0B5</t>
    </r>
  </si>
  <si>
    <r>
      <rPr>
        <b/>
        <sz val="9"/>
        <rFont val="Calibri"/>
        <family val="2"/>
      </rPr>
      <t>DEL PRADO (JOINT)</t>
    </r>
    <r>
      <rPr>
        <sz val="9"/>
        <rFont val="Calibri"/>
        <family val="2"/>
      </rPr>
      <t xml:space="preserve">
1155 Mainland
Vancouver, BC
V6B 5P2
</t>
    </r>
  </si>
  <si>
    <r>
      <rPr>
        <b/>
        <sz val="9"/>
        <rFont val="Calibri"/>
        <family val="2"/>
      </rPr>
      <t>THE WORKS</t>
    </r>
    <r>
      <rPr>
        <sz val="9"/>
        <rFont val="Calibri"/>
        <family val="2"/>
      </rPr>
      <t xml:space="preserve">
1863-1895 Stainsbury Avenue
Vancouver, BC
V5N 2M6</t>
    </r>
  </si>
  <si>
    <r>
      <rPr>
        <b/>
        <sz val="9"/>
        <rFont val="Calibri"/>
        <family val="2"/>
      </rPr>
      <t>LEDGEVIEW VILLAS</t>
    </r>
    <r>
      <rPr>
        <sz val="9"/>
        <rFont val="Calibri"/>
        <family val="2"/>
      </rPr>
      <t xml:space="preserve">
35626 McKee Road
Abbotsford, B.C.
V3G 2L6</t>
    </r>
  </si>
  <si>
    <r>
      <t xml:space="preserve">TV TOWERS (RESIDENTIAL)
</t>
    </r>
    <r>
      <rPr>
        <sz val="9"/>
        <color rgb="FFFF0000"/>
        <rFont val="Calibri"/>
        <family val="2"/>
      </rPr>
      <t>Tower 1
788 Hamilton Street
Vancouver, BC 
V6B 0E9
Tower 2
233 Robson Street
Vancouver, BC 
V6B 0E8</t>
    </r>
  </si>
  <si>
    <r>
      <rPr>
        <b/>
        <sz val="9"/>
        <rFont val="Calibri"/>
        <family val="2"/>
      </rPr>
      <t>VICTORIA HILL (RESIDENTIAL)</t>
    </r>
    <r>
      <rPr>
        <sz val="9"/>
        <rFont val="Calibri"/>
        <family val="2"/>
      </rPr>
      <t xml:space="preserve">
11 &amp; 15 Royal Avenue
New Westminster, BC
V3L 0A8</t>
    </r>
  </si>
  <si>
    <r>
      <t xml:space="preserve">PALOMA ONE (JOINT)
</t>
    </r>
    <r>
      <rPr>
        <sz val="9"/>
        <rFont val="Calibri"/>
        <family val="2"/>
      </rPr>
      <t>6068 No. 3 Road
Richmond, BC
V6Y 4M7</t>
    </r>
    <r>
      <rPr>
        <b/>
        <sz val="9"/>
        <rFont val="Calibri"/>
        <family val="2"/>
      </rPr>
      <t xml:space="preserve">
</t>
    </r>
  </si>
  <si>
    <r>
      <t xml:space="preserve">CREEKSIDE
</t>
    </r>
    <r>
      <rPr>
        <sz val="9"/>
        <rFont val="Calibri"/>
        <family val="2"/>
      </rPr>
      <t>125 Milross Avenue
Vancouver, BC
V6A 0A1
129,139,149,159,169 &amp; 179 Milross Avenue V6A 0A2
910,920 &amp; 930 Quebec Street V6A 0A3
110,118,128,138,158,160 &amp; 168 Prior Street V6A 0A6</t>
    </r>
  </si>
  <si>
    <r>
      <t xml:space="preserve">THE PARC LIVING
</t>
    </r>
    <r>
      <rPr>
        <sz val="9"/>
        <rFont val="Calibri"/>
        <family val="2"/>
      </rPr>
      <t>2959 Glen Drive</t>
    </r>
    <r>
      <rPr>
        <b/>
        <sz val="9"/>
        <rFont val="Calibri"/>
        <family val="2"/>
      </rPr>
      <t xml:space="preserve">
</t>
    </r>
    <r>
      <rPr>
        <sz val="9"/>
        <rFont val="Calibri"/>
        <family val="2"/>
      </rPr>
      <t>Coquitlam, B.C.
V3B 0B8</t>
    </r>
  </si>
  <si>
    <r>
      <t xml:space="preserve">ABERDEEN RESIDENCES
</t>
    </r>
    <r>
      <rPr>
        <sz val="9"/>
        <rFont val="Calibri"/>
        <family val="2"/>
      </rPr>
      <t>8080 Cambie Road
Richmond, BC
V6X 0C1</t>
    </r>
    <r>
      <rPr>
        <b/>
        <sz val="9"/>
        <rFont val="Calibri"/>
        <family val="2"/>
      </rPr>
      <t xml:space="preserve">
</t>
    </r>
  </si>
  <si>
    <r>
      <t xml:space="preserve">SPECTRUM PARKADE
</t>
    </r>
    <r>
      <rPr>
        <sz val="9"/>
        <color indexed="60"/>
        <rFont val="Calibri"/>
        <family val="2"/>
      </rPr>
      <t>111 West Georgia Street
Vancouver, BC
V6B 1T9</t>
    </r>
  </si>
  <si>
    <r>
      <t xml:space="preserve">THE ELEMENT
</t>
    </r>
    <r>
      <rPr>
        <sz val="9"/>
        <rFont val="Calibri"/>
        <family val="2"/>
      </rPr>
      <t>2038 Sandalwood Crescent 
Abbotsford, B.C.
V2S 3H6</t>
    </r>
    <r>
      <rPr>
        <b/>
        <sz val="9"/>
        <rFont val="Calibri"/>
        <family val="2"/>
      </rPr>
      <t xml:space="preserve">
</t>
    </r>
  </si>
  <si>
    <r>
      <t xml:space="preserve">GRAND ON OAK
</t>
    </r>
    <r>
      <rPr>
        <sz val="9"/>
        <color indexed="60"/>
        <rFont val="Calibri"/>
        <family val="2"/>
      </rPr>
      <t xml:space="preserve">5951 - 5999 Oak Street
V6M 2W1
1006 - 1020 West 43rd Avenue
V6M 2B9
5901 Oak Street
Vancouver, BC (Amenity Bldg)
</t>
    </r>
  </si>
  <si>
    <r>
      <t xml:space="preserve">EMPORIO
</t>
    </r>
    <r>
      <rPr>
        <sz val="9"/>
        <rFont val="Calibri"/>
        <family val="2"/>
      </rPr>
      <t>6351 Buswell Street
Richmond, B.C.
V6Y 0A4</t>
    </r>
  </si>
  <si>
    <r>
      <t xml:space="preserve">YALE CROSSING
</t>
    </r>
    <r>
      <rPr>
        <sz val="9"/>
        <rFont val="Calibri"/>
        <family val="2"/>
      </rPr>
      <t>2632 Pauline Street
Abbotsford, BC
V2S 0C9</t>
    </r>
  </si>
  <si>
    <r>
      <t xml:space="preserve">ERICKSON
</t>
    </r>
    <r>
      <rPr>
        <sz val="9"/>
        <color indexed="60"/>
        <rFont val="Calibri"/>
        <family val="2"/>
      </rPr>
      <t>1560 Homer Mews
1510-1582 Homer Mews
268-290 Beach Crescent
Vancouver, BC
V6Z 0A5
Townhomes: 268, 282, 286, 288, 290 Beach Crescent / 1510, 1562, 1566, 1568, 1570, 1572, 1576, 1578, 1580, 1582 Homer Mews</t>
    </r>
  </si>
  <si>
    <r>
      <t xml:space="preserve">ALTO (JOINT)
</t>
    </r>
    <r>
      <rPr>
        <sz val="9"/>
        <rFont val="Calibri"/>
        <family val="2"/>
      </rPr>
      <t>1205 Howe Street
Vancouver, BC
V6Z 0B2</t>
    </r>
  </si>
  <si>
    <r>
      <t xml:space="preserve">ATELIER RESIDENTIAL
</t>
    </r>
    <r>
      <rPr>
        <sz val="9"/>
        <rFont val="Calibri"/>
        <family val="2"/>
      </rPr>
      <t>833 Homer Street
Vancouver, B.C. 
V6B 0H4</t>
    </r>
  </si>
  <si>
    <r>
      <t xml:space="preserve">TV TOWERS (COMMERCIAL)
</t>
    </r>
    <r>
      <rPr>
        <sz val="9"/>
        <color indexed="60"/>
        <rFont val="Calibri"/>
        <family val="2"/>
      </rPr>
      <t xml:space="preserve">211, 235, 265 and 275 Robson Street
Vancouver, B.C. </t>
    </r>
  </si>
  <si>
    <r>
      <t xml:space="preserve">VITA AT SYMPHONY PLACE
</t>
    </r>
    <r>
      <rPr>
        <sz val="9"/>
        <rFont val="Calibri"/>
        <family val="2"/>
      </rPr>
      <t>565 Smithe Street
Vancouver, B.C.
V6B 0E4</t>
    </r>
  </si>
  <si>
    <r>
      <t xml:space="preserve">JARDINE'S LOOKOUT
</t>
    </r>
    <r>
      <rPr>
        <sz val="9"/>
        <rFont val="Calibri"/>
        <family val="2"/>
      </rPr>
      <t>867 Hamilton Street
Vancouver, B.C.
V6B 6B7</t>
    </r>
    <r>
      <rPr>
        <b/>
        <sz val="9"/>
        <rFont val="Calibri"/>
        <family val="2"/>
      </rPr>
      <t xml:space="preserve">
</t>
    </r>
  </si>
  <si>
    <r>
      <t xml:space="preserve">MINORU
</t>
    </r>
    <r>
      <rPr>
        <sz val="9"/>
        <rFont val="Calibri"/>
        <family val="2"/>
      </rPr>
      <t>7371 Minoru Blvd.
Richmond, BC
V6Y 1Z3</t>
    </r>
  </si>
  <si>
    <r>
      <t xml:space="preserve">DONOVAN
</t>
    </r>
    <r>
      <rPr>
        <sz val="9"/>
        <rFont val="Calibri"/>
        <family val="2"/>
      </rPr>
      <t xml:space="preserve">1055 Richards Street
Vancouver, BC
V6B 0C2
Townhouses 1045, 1047, 1049, 1051, 1053, 1057, 1059, 1061, 1063 &amp; 1065 Richards St.
</t>
    </r>
    <r>
      <rPr>
        <b/>
        <sz val="9"/>
        <rFont val="Calibri"/>
        <family val="2"/>
      </rPr>
      <t xml:space="preserve">
</t>
    </r>
  </si>
  <si>
    <r>
      <t xml:space="preserve">KOI (JOINT)
</t>
    </r>
    <r>
      <rPr>
        <sz val="9"/>
        <rFont val="Calibri"/>
        <family val="2"/>
      </rPr>
      <t>850 West 8th Avenue
Vancouver, BC</t>
    </r>
  </si>
  <si>
    <r>
      <t xml:space="preserve">SOCIAL
</t>
    </r>
    <r>
      <rPr>
        <sz val="9"/>
        <color indexed="30"/>
        <rFont val="Calibri"/>
        <family val="2"/>
      </rPr>
      <t xml:space="preserve">2329, 2339, 2349, 2359, 2369, 2379, 2389, 2399
Scotia Street 
Vancouver, BC V5T 0B2
2321 Scotia Street
Vancouver, BC
V5T 0A8
240, 250, 260, 270, 280, 290 
East 7th Avenue 
Vancouver, BC V5T 0B4
</t>
    </r>
  </si>
  <si>
    <r>
      <t xml:space="preserve">SEASONS
</t>
    </r>
    <r>
      <rPr>
        <sz val="9"/>
        <rFont val="Calibri"/>
        <family val="2"/>
      </rPr>
      <t>5028 Kwantlen Street V6X 4K2
5068 Kwantlen Street V6X 4K4
5088 Kwantlen Street V6X 4K5
5168 Kwantlen St. V6X 0A2
Richmond, B.C.</t>
    </r>
  </si>
  <si>
    <r>
      <t xml:space="preserve">WEST PENDER PLACE (COMMERCIAL)
</t>
    </r>
    <r>
      <rPr>
        <sz val="9"/>
        <rFont val="Calibri"/>
        <family val="2"/>
      </rPr>
      <t xml:space="preserve">1477 West Pender
1409 West Pender
1425, 1427, 1433, 1437, 1455, 1463, 1467, 1483, 1487, 1499 West Pender
595 Broughton Street
Vancouver, B.C.
</t>
    </r>
  </si>
  <si>
    <r>
      <t xml:space="preserve">PALOMA 2 (RESIDENTIAL)
</t>
    </r>
    <r>
      <rPr>
        <sz val="9"/>
        <rFont val="Calibri"/>
        <family val="2"/>
      </rPr>
      <t>8033 Saba Road
Richmond, B.C.
V6Y 4M8</t>
    </r>
  </si>
  <si>
    <r>
      <t xml:space="preserve">PALOMA 2 (JOINT)
</t>
    </r>
    <r>
      <rPr>
        <sz val="9"/>
        <rFont val="Calibri"/>
        <family val="2"/>
      </rPr>
      <t>8033 Saba Road
Richmond, B.C.
V6Y 4M8</t>
    </r>
  </si>
  <si>
    <r>
      <t xml:space="preserve">CEDAR CREEK 
</t>
    </r>
    <r>
      <rPr>
        <sz val="9"/>
        <rFont val="Calibri"/>
        <family val="2"/>
      </rPr>
      <t>1460 Southview Road
Coquitlam, BC
V3E 0G6</t>
    </r>
  </si>
  <si>
    <r>
      <t xml:space="preserve">  RICHARDS LIVING
</t>
    </r>
    <r>
      <rPr>
        <sz val="9"/>
        <rFont val="Calibri"/>
        <family val="2"/>
      </rPr>
      <t>1088 Richards Street 
Vancouver, BC
V6B 0J8
1038, 1040, 1048, 1050, 1058, 1060, 1070, 1090 Richards Street
Vancouver, BC
V6B 3E1
477 and 487 Helmcken Street
Vancouver, BC
V6B 2E6</t>
    </r>
  </si>
  <si>
    <r>
      <t xml:space="preserve">TV TOWERS (JOINT)
</t>
    </r>
    <r>
      <rPr>
        <sz val="9"/>
        <color indexed="10"/>
        <rFont val="Calibri"/>
        <family val="2"/>
      </rPr>
      <t>Tower 1
788 Hamilton Street
Vancouver, BC 
V6B 0E9
Tower 2
233 Robson Street
Vancouver, BC 
V6B 0E8</t>
    </r>
  </si>
  <si>
    <r>
      <t xml:space="preserve">PARK PLACE - RESIDENTIAL
</t>
    </r>
    <r>
      <rPr>
        <sz val="9"/>
        <color indexed="60"/>
        <rFont val="Calibri"/>
        <family val="2"/>
      </rPr>
      <t xml:space="preserve">One Park Place – 13688 – 100th Ave
Two Park Place – 9981 Whalley Boulevard
Surrey, BC
</t>
    </r>
  </si>
  <si>
    <r>
      <t xml:space="preserve">CEDAR CREEK NORTH
</t>
    </r>
    <r>
      <rPr>
        <sz val="9"/>
        <rFont val="Calibri"/>
        <family val="2"/>
      </rPr>
      <t>1480 Southview Street
Coquitlam, BC</t>
    </r>
    <r>
      <rPr>
        <b/>
        <sz val="9"/>
        <rFont val="Calibri"/>
        <family val="2"/>
      </rPr>
      <t xml:space="preserve">
</t>
    </r>
  </si>
  <si>
    <r>
      <t xml:space="preserve">JARDINES LOOKOUT - RESIDENTIAL
</t>
    </r>
    <r>
      <rPr>
        <sz val="9"/>
        <rFont val="Calibri"/>
        <family val="2"/>
      </rPr>
      <t>867 Hamilton Street
Vancouver, B.C.
V6B 6B7</t>
    </r>
  </si>
  <si>
    <r>
      <t xml:space="preserve">JARDINES LOOKOUT - COMMERCIAL
</t>
    </r>
    <r>
      <rPr>
        <sz val="9"/>
        <rFont val="Calibri"/>
        <family val="2"/>
      </rPr>
      <t xml:space="preserve">837, 847, 863 Hamilton Street
Vancouver, B.C.
</t>
    </r>
  </si>
  <si>
    <r>
      <t xml:space="preserve">UPTOWN - JOINT 
</t>
    </r>
    <r>
      <rPr>
        <sz val="9"/>
        <color indexed="10"/>
        <rFont val="Calibri"/>
        <family val="2"/>
      </rPr>
      <t xml:space="preserve">2788 Prince Edward Street
Vancouver, BC  V5T 0C8
Townhouses
2718, 2738, 2768, 2790, 2792 and 2796 Prince Edward Street
408, 410, 416, 418, East 11th Avenue
401, 411 and 421 East 12th Avenue
Vancouver, BC </t>
    </r>
    <r>
      <rPr>
        <b/>
        <sz val="9"/>
        <color indexed="10"/>
        <rFont val="Calibri"/>
        <family val="2"/>
      </rPr>
      <t xml:space="preserve">
</t>
    </r>
  </si>
  <si>
    <r>
      <t xml:space="preserve">UPTOWN - RESIDENTIAL
</t>
    </r>
    <r>
      <rPr>
        <sz val="9"/>
        <color indexed="10"/>
        <rFont val="Calibri"/>
        <family val="2"/>
      </rPr>
      <t xml:space="preserve">2788 Prince Edward Street
Vancouver, BC   V5T 0C8
Townhouses
2718, 2738, 2768, 2790, 2792 and 2796 Prince Edward Street
408, 410, 416, 418, East 11th Avenue
401, 411 and 421 East 12th Avenue
Vancouver, BC </t>
    </r>
    <r>
      <rPr>
        <b/>
        <sz val="9"/>
        <color indexed="10"/>
        <rFont val="Calibri"/>
        <family val="2"/>
      </rPr>
      <t xml:space="preserve">
</t>
    </r>
  </si>
  <si>
    <r>
      <t xml:space="preserve">LONDON PLACE 
</t>
    </r>
    <r>
      <rPr>
        <sz val="9"/>
        <rFont val="Calibri"/>
        <family val="2"/>
        <scheme val="minor"/>
      </rPr>
      <t>1177 Hornby Street
Vancouver, BC
V6Z 2E9</t>
    </r>
  </si>
  <si>
    <r>
      <t xml:space="preserve">CASSIA
</t>
    </r>
    <r>
      <rPr>
        <sz val="9"/>
        <rFont val="Calibri"/>
        <family val="2"/>
      </rPr>
      <t>6965 East Hastings Street
Burnaby, BC V5B 1S9</t>
    </r>
  </si>
  <si>
    <r>
      <t xml:space="preserve">WHISTLER MOUNTAINSIDE LODGE
</t>
    </r>
    <r>
      <rPr>
        <sz val="9"/>
        <rFont val="Calibri"/>
        <family val="2"/>
      </rPr>
      <t>4417 Sundial Place 
Whistler, BC
V0N 1B4</t>
    </r>
    <r>
      <rPr>
        <b/>
        <sz val="9"/>
        <rFont val="Calibri"/>
        <family val="2"/>
      </rPr>
      <t xml:space="preserve">
</t>
    </r>
  </si>
  <si>
    <r>
      <t xml:space="preserve">THE PARK @ THE BORDEAUX
</t>
    </r>
    <r>
      <rPr>
        <sz val="9"/>
        <rFont val="Calibri"/>
        <family val="2"/>
      </rPr>
      <t xml:space="preserve">7102 Mont Royal Square
Vancouver, BC
V5S 4W4
</t>
    </r>
    <r>
      <rPr>
        <b/>
        <i/>
        <sz val="9"/>
        <rFont val="Calibri"/>
        <family val="2"/>
      </rPr>
      <t>Financial Contract Only</t>
    </r>
    <r>
      <rPr>
        <b/>
        <sz val="9"/>
        <rFont val="Calibri"/>
        <family val="2"/>
      </rPr>
      <t xml:space="preserve">
</t>
    </r>
  </si>
  <si>
    <r>
      <t xml:space="preserve">7&amp;W
</t>
    </r>
    <r>
      <rPr>
        <sz val="9"/>
        <rFont val="Calibri"/>
        <family val="2"/>
      </rPr>
      <t xml:space="preserve">1002 East 7th Avenue
1006 East 7th Avenue
1008 East 7th Avenue
V5T 1P7
2316 Windsor Street
2318 Windsor Street
2320 Windsor Street
2330 Windsor Street
2328 Windsor Street
2326 Windsor Street
Vancouver, BC
V5T 3Z5
</t>
    </r>
  </si>
  <si>
    <r>
      <t xml:space="preserve">OASIS
</t>
    </r>
    <r>
      <rPr>
        <sz val="9"/>
        <color indexed="30"/>
        <rFont val="Calibri"/>
        <family val="2"/>
      </rPr>
      <t>2955 Atlantic Avenue
Coquitlam, BC V3B 0H9</t>
    </r>
  </si>
  <si>
    <r>
      <t xml:space="preserve">VANTAGE
</t>
    </r>
    <r>
      <rPr>
        <sz val="9"/>
        <rFont val="Calibri"/>
        <family val="2"/>
      </rPr>
      <t>2077 Rosser Avenue
Burnaby, BC
V5C 0G6</t>
    </r>
    <r>
      <rPr>
        <b/>
        <sz val="9"/>
        <rFont val="Calibri"/>
        <family val="2"/>
      </rPr>
      <t xml:space="preserve">
</t>
    </r>
  </si>
  <si>
    <r>
      <t xml:space="preserve">THE RESIDENCES AT SUTER BROOK
</t>
    </r>
    <r>
      <rPr>
        <sz val="9"/>
        <color indexed="30"/>
        <rFont val="Calibri"/>
        <family val="2"/>
      </rPr>
      <t>301 Capilano Road
Port Moody, BC
V3H 0G6</t>
    </r>
  </si>
  <si>
    <r>
      <t xml:space="preserve">KITS 360 - JOINT
</t>
    </r>
    <r>
      <rPr>
        <sz val="9"/>
        <rFont val="Calibri"/>
        <family val="2"/>
      </rPr>
      <t>1777 West 7th Avenue
1772, 1776, 1778, 1780, 1782, 1786, 1788 West 6th Avenue
2288 Burrard Street 
Vancouver, B.C. 
V6J 0E5</t>
    </r>
  </si>
  <si>
    <r>
      <t xml:space="preserve">KITS 360 - RESIDENTIAL 
</t>
    </r>
    <r>
      <rPr>
        <sz val="9"/>
        <rFont val="Calibri"/>
        <family val="2"/>
      </rPr>
      <t xml:space="preserve">1777 West 7th Avenue
1772, 1776, 1778, 1780, 1782, 1786, 1788 West 6th Avenue
Vancouver, B.C. </t>
    </r>
    <r>
      <rPr>
        <b/>
        <sz val="9"/>
        <rFont val="Calibri"/>
        <family val="2"/>
      </rPr>
      <t xml:space="preserve">
V6J 0E5</t>
    </r>
  </si>
  <si>
    <r>
      <t xml:space="preserve">LOCAL ON LONSDALE
TH - </t>
    </r>
    <r>
      <rPr>
        <sz val="9"/>
        <rFont val="Calibri"/>
        <family val="2"/>
      </rPr>
      <t xml:space="preserve">1621, 1623, 1625, 1629, 1631, 1633, 
1635, 1637, 1639, 1641 Eastern Avenue
</t>
    </r>
    <r>
      <rPr>
        <b/>
        <sz val="9"/>
        <rFont val="Calibri"/>
        <family val="2"/>
      </rPr>
      <t>Residential Tower -</t>
    </r>
    <r>
      <rPr>
        <sz val="9"/>
        <rFont val="Calibri"/>
        <family val="2"/>
      </rPr>
      <t xml:space="preserve"> 135 East 17th Street
North Vancouver, BC 
V7L 0C4</t>
    </r>
    <r>
      <rPr>
        <b/>
        <sz val="9"/>
        <rFont val="Calibri"/>
        <family val="2"/>
      </rPr>
      <t xml:space="preserve">
</t>
    </r>
  </si>
  <si>
    <r>
      <t xml:space="preserve">THE EVELYN - CLIFFSIDE ONE
</t>
    </r>
    <r>
      <rPr>
        <sz val="9"/>
        <color indexed="30"/>
        <rFont val="Calibri"/>
        <family val="2"/>
      </rPr>
      <t>988 Keith Road
West Vancouver, B.C. 
V7T 1M3</t>
    </r>
    <r>
      <rPr>
        <b/>
        <sz val="9"/>
        <color indexed="30"/>
        <rFont val="Calibri"/>
        <family val="2"/>
      </rPr>
      <t xml:space="preserve">
</t>
    </r>
  </si>
  <si>
    <r>
      <t xml:space="preserve">THE MARK 
</t>
    </r>
    <r>
      <rPr>
        <sz val="9"/>
        <color indexed="30"/>
        <rFont val="Calibri"/>
        <family val="2"/>
      </rPr>
      <t>1372 Seymour Street
Vancouver, BC
V6B 0L1
Townhomes: 555 &amp; 565 Pacific St. / 1378, 1382, 1386, 1390 &amp; 1394 Seymour St.</t>
    </r>
  </si>
  <si>
    <r>
      <t xml:space="preserve">THE DRIVE 2
</t>
    </r>
    <r>
      <rPr>
        <sz val="9"/>
        <color indexed="30"/>
        <rFont val="Calibri"/>
        <family val="2"/>
      </rPr>
      <t>Building 1</t>
    </r>
    <r>
      <rPr>
        <b/>
        <sz val="9"/>
        <color indexed="30"/>
        <rFont val="Calibri"/>
        <family val="2"/>
      </rPr>
      <t xml:space="preserve">
</t>
    </r>
    <r>
      <rPr>
        <sz val="9"/>
        <color indexed="30"/>
        <rFont val="Calibri"/>
        <family val="2"/>
      </rPr>
      <t>1177 Marine Drive
North Vancouver, BC V7P 1T1
Building 2
1182 West 16th Street
North Vancouver, BC V7P 0B3</t>
    </r>
  </si>
  <si>
    <r>
      <t xml:space="preserve">WELLINGTON STATION
</t>
    </r>
    <r>
      <rPr>
        <sz val="9"/>
        <rFont val="Calibri"/>
        <family val="2"/>
      </rPr>
      <t>11887 Burnett Street
Maple Ridge, BC V2X 6P6</t>
    </r>
  </si>
  <si>
    <r>
      <rPr>
        <b/>
        <sz val="9"/>
        <rFont val="Calibri"/>
        <family val="2"/>
      </rPr>
      <t>THE VICTORIA (JOINT)</t>
    </r>
    <r>
      <rPr>
        <sz val="9"/>
        <rFont val="Calibri"/>
        <family val="2"/>
      </rPr>
      <t xml:space="preserve">
751 &amp; 789 Helmcken V6B 5R1</t>
    </r>
  </si>
  <si>
    <r>
      <t xml:space="preserve">258 CONDOS
</t>
    </r>
    <r>
      <rPr>
        <sz val="9"/>
        <rFont val="Calibri"/>
        <family val="2"/>
      </rPr>
      <t>258 6th Street
New Westminster, BC 
V3L 0G6</t>
    </r>
  </si>
  <si>
    <r>
      <rPr>
        <b/>
        <sz val="9"/>
        <rFont val="Calibri"/>
        <family val="2"/>
      </rPr>
      <t xml:space="preserve">CAMBIE + 7
</t>
    </r>
    <r>
      <rPr>
        <sz val="9"/>
        <rFont val="Calibri"/>
        <family val="2"/>
      </rPr>
      <t>538 West 7th Avenue
Vancouver, BC
V5Z 1B3
TH1 = 546, TH2 = 542, TH3 = 540, TH5 = 536, TH6 = 532, TH7 = 530 West 7th Avenue</t>
    </r>
  </si>
  <si>
    <r>
      <t xml:space="preserve">LA CASITA
</t>
    </r>
    <r>
      <rPr>
        <sz val="9"/>
        <rFont val="Calibri"/>
        <family val="2"/>
      </rPr>
      <t>5783 Balsam Street
Vancouver, BC V6M 4B8</t>
    </r>
  </si>
  <si>
    <r>
      <t xml:space="preserve">JACOBSEN
</t>
    </r>
    <r>
      <rPr>
        <sz val="9"/>
        <rFont val="Calibri"/>
        <family val="2"/>
      </rPr>
      <t>256 East 2nd Avenue
Vancouver, BC V5T 0A7
248, 250, 252, 254, 260, 262, 264, 266, 268, 270, 272, 274, 276, 278 &amp; 280 East 2nd Ave.
Vancouver, BC V5T 1B7</t>
    </r>
  </si>
  <si>
    <r>
      <t xml:space="preserve">MERIDIAN GATE
</t>
    </r>
    <r>
      <rPr>
        <sz val="9"/>
        <rFont val="Calibri"/>
        <family val="2"/>
      </rPr>
      <t>9288 Odlin Road (Tower 1)
9199 Tomicki Avenue (Tower 2B)
9299 Tomicki Avenue (Tower 2A)
Richmond, BC</t>
    </r>
  </si>
  <si>
    <r>
      <t xml:space="preserve">SAFFRON
</t>
    </r>
    <r>
      <rPr>
        <sz val="9"/>
        <rFont val="Calibri"/>
        <family val="2"/>
      </rPr>
      <t>6800 Eckersley Road, V6Y 0E7 (Tower 3)
6828 Eckersley Road, V6Y 0E8 (Tower 2)
8600 Park Road, V6Y 0C3 (Tower 1)
Richmond, BC</t>
    </r>
  </si>
  <si>
    <r>
      <t xml:space="preserve">CAMBRIDGE PARK
</t>
    </r>
    <r>
      <rPr>
        <sz val="9"/>
        <rFont val="Calibri"/>
        <family val="2"/>
      </rPr>
      <t>9500 Odlin Road V6X 0H5 (Tower 1)
9399 Tomicki Avenue V6X 0H6 (Tower 2)
Richmond, BC</t>
    </r>
  </si>
  <si>
    <r>
      <t xml:space="preserve">THE BRITTANY (APARTMENTS)
</t>
    </r>
    <r>
      <rPr>
        <sz val="9"/>
        <rFont val="Calibri"/>
        <family val="2"/>
      </rPr>
      <t>3292 East 54th Avenue
Vancouver, BC V5S 0A1</t>
    </r>
  </si>
  <si>
    <r>
      <t xml:space="preserve">THE AUSTIN (JOINT)
</t>
    </r>
    <r>
      <rPr>
        <sz val="9"/>
        <rFont val="Calibri"/>
        <family val="2"/>
      </rPr>
      <t>958 Ridgeway Avenue V3K 0C5
955 Austin Avenue V3K 3N9
Coquitlam, BC</t>
    </r>
  </si>
  <si>
    <r>
      <t xml:space="preserve">THE AUSTIN (RESIDENTIAL)
</t>
    </r>
    <r>
      <rPr>
        <sz val="9"/>
        <rFont val="Calibri"/>
        <family val="2"/>
      </rPr>
      <t>958 Ridgeway Avenue V3K 0C5
955 Austin Avenue V3K 3N9
Coquitlam, BC</t>
    </r>
  </si>
  <si>
    <r>
      <t xml:space="preserve">EVELYN CLIFFSIDE TWO (5332-2)
</t>
    </r>
    <r>
      <rPr>
        <sz val="9"/>
        <color indexed="30"/>
        <rFont val="Calibri"/>
        <family val="2"/>
      </rPr>
      <t xml:space="preserve">918 Keith Road
West Vancouver, BC
</t>
    </r>
    <r>
      <rPr>
        <b/>
        <sz val="9"/>
        <color indexed="30"/>
        <rFont val="Calibri"/>
        <family val="2"/>
      </rPr>
      <t xml:space="preserve">EVELYN CLIFFSIDE THREE (5332-3)
</t>
    </r>
    <r>
      <rPr>
        <sz val="9"/>
        <color indexed="30"/>
        <rFont val="Calibri"/>
        <family val="2"/>
      </rPr>
      <t>908 Keith Road
West Vancouver, BC</t>
    </r>
  </si>
  <si>
    <r>
      <t xml:space="preserve">LATITUDE
</t>
    </r>
    <r>
      <rPr>
        <sz val="9"/>
        <rFont val="Calibri"/>
        <family val="2"/>
      </rPr>
      <t>3485 Victoria Drive
Vancouver, BC</t>
    </r>
  </si>
  <si>
    <r>
      <t xml:space="preserve">KENSINGTON AT WILLOUGHBY TOWN CENTRE (JOINT)
</t>
    </r>
    <r>
      <rPr>
        <sz val="9"/>
        <rFont val="Calibri"/>
        <family val="2"/>
      </rPr>
      <t>20728 Willoughby Town Centre Drive
Langley, BC
V2Y 0P3</t>
    </r>
  </si>
  <si>
    <r>
      <t xml:space="preserve">KENSINGTON AT WILLOUGHBY TOWN CENTRE (RESIDENTIAL)
</t>
    </r>
    <r>
      <rPr>
        <sz val="9"/>
        <rFont val="Calibri"/>
        <family val="2"/>
      </rPr>
      <t>20728 Willoughby Town Centre Drive
Langley, BC
V2Y 0P3</t>
    </r>
  </si>
  <si>
    <r>
      <t xml:space="preserve">LE SOLEIL - HOTEL
</t>
    </r>
    <r>
      <rPr>
        <sz val="9"/>
        <rFont val="Calibri"/>
        <family val="2"/>
      </rPr>
      <t>567 Hornby Street
Vancouver, BC
V6C 3E8</t>
    </r>
  </si>
  <si>
    <r>
      <t xml:space="preserve">LE SOLEIL -COMMERCIAL  SECTION
</t>
    </r>
    <r>
      <rPr>
        <sz val="9"/>
        <rFont val="Calibri"/>
        <family val="2"/>
      </rPr>
      <t>567 Hornby Street
Vancouver, BC
V6C 3E8</t>
    </r>
  </si>
  <si>
    <r>
      <t xml:space="preserve">LIV42
</t>
    </r>
    <r>
      <rPr>
        <sz val="9"/>
        <rFont val="Calibri"/>
        <family val="2"/>
      </rPr>
      <t>12409 Harris Road
Pitt Meadows, BC</t>
    </r>
    <r>
      <rPr>
        <b/>
        <sz val="9"/>
        <rFont val="Calibri"/>
        <family val="2"/>
      </rPr>
      <t xml:space="preserve">
</t>
    </r>
    <r>
      <rPr>
        <sz val="9"/>
        <rFont val="Calibri"/>
        <family val="2"/>
      </rPr>
      <t>V3Y 0E7</t>
    </r>
  </si>
  <si>
    <r>
      <t xml:space="preserve">PARC VUE
</t>
    </r>
    <r>
      <rPr>
        <sz val="9"/>
        <rFont val="Calibri"/>
        <family val="2"/>
      </rPr>
      <t xml:space="preserve">12040 – 222nd  St, 
Maple Ridge
V2X 9G8 </t>
    </r>
  </si>
  <si>
    <r>
      <t xml:space="preserve">SKALA
</t>
    </r>
    <r>
      <rPr>
        <sz val="9"/>
        <rFont val="Calibri"/>
        <family val="2"/>
      </rPr>
      <t>453 &amp; 455 East 16th Avenue
Vancouver, B.C.</t>
    </r>
  </si>
  <si>
    <r>
      <t xml:space="preserve">THE MET
</t>
    </r>
    <r>
      <rPr>
        <sz val="9"/>
        <color indexed="10"/>
        <rFont val="Calibri"/>
        <family val="2"/>
      </rPr>
      <t xml:space="preserve">6588 Nelson Avenue
6598, 6590, 6578, 6570, 6568, 6560 Nelson Avenue
6569, 6579, 6585, 6595, 6599 Dunblane Avenue
Burnaby, BC
V5H 0E8
</t>
    </r>
  </si>
  <si>
    <r>
      <t>REDBRICK</t>
    </r>
    <r>
      <rPr>
        <sz val="9"/>
        <rFont val="Calibri"/>
        <family val="2"/>
      </rPr>
      <t xml:space="preserve">
Building A - 7088 14th Avenue
Burnaby, B.C. V3N 0E7
Building B - 7058 14th Avenue
Burnaby, B.C. V3N 0E6
</t>
    </r>
  </si>
  <si>
    <r>
      <t xml:space="preserve">CHROMA
</t>
    </r>
    <r>
      <rPr>
        <sz val="9"/>
        <rFont val="Calibri"/>
        <family val="2"/>
      </rPr>
      <t xml:space="preserve">15628 104th Avenue
Surrey, BC V4N 2J3 </t>
    </r>
  </si>
  <si>
    <r>
      <t xml:space="preserve">MAPLE HEIGHTS
</t>
    </r>
    <r>
      <rPr>
        <sz val="9"/>
        <rFont val="Calibri"/>
        <family val="2"/>
      </rPr>
      <t>11305 240th Street 
Maple Ridge, BC
V2W 0J1</t>
    </r>
  </si>
  <si>
    <r>
      <rPr>
        <b/>
        <sz val="9"/>
        <rFont val="Calibri"/>
        <family val="2"/>
      </rPr>
      <t>1277 Nelson Street</t>
    </r>
    <r>
      <rPr>
        <sz val="9"/>
        <rFont val="Calibri"/>
        <family val="2"/>
      </rPr>
      <t xml:space="preserve">
Vancouver, BC
V6E 4M8</t>
    </r>
  </si>
  <si>
    <r>
      <t xml:space="preserve">HAMPTON COURT
</t>
    </r>
    <r>
      <rPr>
        <sz val="9"/>
        <rFont val="Calibri"/>
        <family val="2"/>
      </rPr>
      <t>1765 Marine Drive
West Vancouver, B.C.
V7V 1J5</t>
    </r>
  </si>
  <si>
    <r>
      <t xml:space="preserve">RIVA
</t>
    </r>
    <r>
      <rPr>
        <sz val="9"/>
        <color theme="4"/>
        <rFont val="Calibri"/>
        <family val="2"/>
      </rPr>
      <t>5365-1 - 5399 Cedarbridge Way, Richmond V6X 0L6
5365-2 – 5311 Cedarbridge Way, Richmond V6X 0M3</t>
    </r>
    <r>
      <rPr>
        <b/>
        <sz val="9"/>
        <color theme="4"/>
        <rFont val="Calibri"/>
        <family val="2"/>
      </rPr>
      <t xml:space="preserve">
</t>
    </r>
  </si>
  <si>
    <r>
      <t>STRATUS AT SOLO DISTRICT</t>
    </r>
    <r>
      <rPr>
        <sz val="9"/>
        <rFont val="Calibri"/>
        <family val="2"/>
      </rPr>
      <t xml:space="preserve">
2008 Rosser Avenue
Burnaby, BC 
V5C 0H8</t>
    </r>
    <r>
      <rPr>
        <b/>
        <sz val="9"/>
        <rFont val="Calibri"/>
        <family val="2"/>
      </rPr>
      <t xml:space="preserve">
</t>
    </r>
  </si>
  <si>
    <r>
      <t xml:space="preserve">EMPIRE
</t>
    </r>
    <r>
      <rPr>
        <sz val="9"/>
        <rFont val="Calibri"/>
        <family val="2"/>
      </rPr>
      <t xml:space="preserve"> 511 West 30th Ave
512 West 29th Ave
4525-4559 Cambie Street
</t>
    </r>
    <r>
      <rPr>
        <b/>
        <sz val="9"/>
        <rFont val="Calibri"/>
        <family val="2"/>
      </rPr>
      <t>5369-A:</t>
    </r>
    <r>
      <rPr>
        <sz val="9"/>
        <rFont val="Calibri"/>
        <family val="2"/>
      </rPr>
      <t xml:space="preserve"> 508 West 29th Avenue
</t>
    </r>
    <r>
      <rPr>
        <b/>
        <sz val="9"/>
        <rFont val="Calibri"/>
        <family val="2"/>
      </rPr>
      <t>5369-B:</t>
    </r>
    <r>
      <rPr>
        <sz val="9"/>
        <rFont val="Calibri"/>
        <family val="2"/>
      </rPr>
      <t xml:space="preserve"> 505 West 30th Avenue
</t>
    </r>
    <r>
      <rPr>
        <b/>
        <sz val="9"/>
        <rFont val="Calibri"/>
        <family val="2"/>
      </rPr>
      <t xml:space="preserve">5369-C: </t>
    </r>
    <r>
      <rPr>
        <sz val="9"/>
        <rFont val="Calibri"/>
        <family val="2"/>
      </rPr>
      <t>4539 Cambie Street
Vancouver, BC</t>
    </r>
  </si>
  <si>
    <r>
      <t xml:space="preserve">THE LOOKOUT
</t>
    </r>
    <r>
      <rPr>
        <sz val="9"/>
        <color theme="4"/>
        <rFont val="Calibri"/>
        <family val="2"/>
      </rPr>
      <t xml:space="preserve">Phase 1 – 20 East Royal Avenue
Phase 2 – 22 East Royal Avenue
New Westminster, B.C. </t>
    </r>
    <r>
      <rPr>
        <b/>
        <sz val="9"/>
        <color theme="4"/>
        <rFont val="Calibri"/>
        <family val="2"/>
      </rPr>
      <t xml:space="preserve">
</t>
    </r>
  </si>
  <si>
    <r>
      <t xml:space="preserve">AVANT
</t>
    </r>
    <r>
      <rPr>
        <sz val="9"/>
        <rFont val="Calibri"/>
        <family val="2"/>
      </rPr>
      <t xml:space="preserve">2903 – 2997 Wall Street
Vancouver, B.C.
V5K 0A6
</t>
    </r>
  </si>
  <si>
    <r>
      <t xml:space="preserve">WESTWOOD
</t>
    </r>
    <r>
      <rPr>
        <sz val="9"/>
        <color theme="4"/>
        <rFont val="Calibri"/>
        <family val="2"/>
      </rPr>
      <t>1123 Westwood Street V3B 0M1
3080 Lincoln Avenue V3B 0L9
TH - 3086 Lincoln Avenue
Coquitlam, B.C. 
V3B 0L9</t>
    </r>
  </si>
  <si>
    <r>
      <t xml:space="preserve">ONE PACIFIC 
5377-1: </t>
    </r>
    <r>
      <rPr>
        <sz val="9"/>
        <color indexed="10"/>
        <rFont val="Calibri"/>
        <family val="2"/>
      </rPr>
      <t xml:space="preserve">68 Smithe Street
Vancouver, B.C. 
V6B 0P4 
</t>
    </r>
    <r>
      <rPr>
        <b/>
        <sz val="9"/>
        <color indexed="10"/>
        <rFont val="Calibri"/>
        <family val="2"/>
      </rPr>
      <t>5377-2</t>
    </r>
    <r>
      <rPr>
        <sz val="9"/>
        <color indexed="10"/>
        <rFont val="Calibri"/>
        <family val="2"/>
      </rPr>
      <t>: 38 Smithe Street
Vancouver, B.C. 
V6B 0P3</t>
    </r>
  </si>
  <si>
    <r>
      <rPr>
        <b/>
        <sz val="9"/>
        <rFont val="Calibri"/>
        <family val="2"/>
      </rPr>
      <t xml:space="preserve">LA VILLA
</t>
    </r>
    <r>
      <rPr>
        <sz val="9"/>
        <rFont val="Calibri"/>
        <family val="2"/>
      </rPr>
      <t>8400 Cook Road
Richmond, BC
V6Y 1V5</t>
    </r>
  </si>
  <si>
    <r>
      <t xml:space="preserve">CHARTWELL MEWS
</t>
    </r>
    <r>
      <rPr>
        <sz val="9"/>
        <rFont val="Calibri"/>
        <family val="2"/>
        <scheme val="minor"/>
      </rPr>
      <t>Tower 1 - 8740 Citation Drive
Tower 2 - 8870 Citation Drive</t>
    </r>
    <r>
      <rPr>
        <b/>
        <sz val="9"/>
        <rFont val="Calibri"/>
        <family val="2"/>
        <scheme val="minor"/>
      </rPr>
      <t xml:space="preserve">
</t>
    </r>
    <r>
      <rPr>
        <sz val="9"/>
        <rFont val="Calibri"/>
        <family val="2"/>
      </rPr>
      <t>Richmond, BC
V6Y 3AE
Townhomes:
8700, 8710, 8720, 8730, 8750, 8760, 8770, 8780, 8790, 8800, 8810, 8820, 8830, 8840, 8850, 8860 Citation Drive
Richmond, BC</t>
    </r>
  </si>
  <si>
    <r>
      <t xml:space="preserve">BLOCK 100
</t>
    </r>
    <r>
      <rPr>
        <sz val="9"/>
        <color theme="4"/>
        <rFont val="Calibri"/>
        <family val="2"/>
      </rPr>
      <t>Building A - 111 East 1st Avenue, V6A 0E9
Building B/C - 161 East 1st Avenue, V6A 0G1
Vancouver, BC
Building A TH
101, 103, 105 East 1st Avenue, V6A 0E8
1670, 1680, 1690, 1696 Quebec Street, V6A 3L6
Vancouver, BC
Building B &amp; C TH
121, 123, 125, 127, 129, 131, 141, 143, 145, 147, 149 East 1st Avenue, V6A 0E8
Vancouver, BC</t>
    </r>
  </si>
  <si>
    <r>
      <rPr>
        <b/>
        <sz val="9"/>
        <color rgb="FFFF0000"/>
        <rFont val="Calibri"/>
        <family val="2"/>
        <scheme val="minor"/>
      </rPr>
      <t>ONE PACIFIC COMMERCIAL</t>
    </r>
    <r>
      <rPr>
        <sz val="9"/>
        <color rgb="FFFF0000"/>
        <rFont val="Calibri"/>
        <family val="2"/>
        <scheme val="minor"/>
      </rPr>
      <t xml:space="preserve">
30, 50, 60, 68 Smithe Street
959, 963 Pacific Blvd
Vancouver, BC</t>
    </r>
  </si>
  <si>
    <r>
      <t xml:space="preserve">SAVILE ROW
</t>
    </r>
    <r>
      <rPr>
        <sz val="9"/>
        <rFont val="Calibri"/>
        <family val="2"/>
        <scheme val="minor"/>
      </rPr>
      <t xml:space="preserve">5108 Claude Avenue V5E 0C1
5028, 5038, 5048, 5058, 5068, 5078, 5088, 5118, 5148, 5158, 5168, 5178, 5188, 5202, 5208, 5218, 5228 Savile Row
5122, 5128, 5132, 5138, 5142, 5152, 5160 Canada Way
Burnaby, BC
</t>
    </r>
    <r>
      <rPr>
        <b/>
        <sz val="9"/>
        <rFont val="Calibri"/>
        <family val="2"/>
        <scheme val="minor"/>
      </rPr>
      <t xml:space="preserve">
</t>
    </r>
  </si>
  <si>
    <r>
      <t xml:space="preserve">PARK AVENUE
</t>
    </r>
    <r>
      <rPr>
        <sz val="9"/>
        <color rgb="FFFF0000"/>
        <rFont val="Calibri"/>
        <family val="2"/>
        <scheme val="minor"/>
      </rPr>
      <t>13750 100th Avenue
Surrey, BC V3T 0L3</t>
    </r>
  </si>
  <si>
    <r>
      <t xml:space="preserve">CONCORD GARDENS ARTS UNITS
</t>
    </r>
    <r>
      <rPr>
        <sz val="9"/>
        <color rgb="FFFF0000"/>
        <rFont val="Calibri"/>
        <family val="2"/>
        <scheme val="minor"/>
      </rPr>
      <t>West Tower
8833 Hazelbridge Way
Richmond, BC V6X 0N3
North Tower
3131 Ketcheson Road
Richmond, BC V6S 0N4</t>
    </r>
  </si>
  <si>
    <r>
      <t xml:space="preserve">CARRERA
</t>
    </r>
    <r>
      <rPr>
        <sz val="9"/>
        <rFont val="Calibri"/>
        <family val="2"/>
        <scheme val="minor"/>
      </rPr>
      <t xml:space="preserve">Phase 1 (Building A) - 7338 Gollner Avenue V6Y 0H8
Phase 2 (Building B) - 7368 Gollner Avenue V6Y 0H9
Phase 3 (Building C) - 7328 Gollner Avenue V6Y 0H7
Richmond, BC
</t>
    </r>
  </si>
  <si>
    <r>
      <t xml:space="preserve">PINTURA APARTMENTS
</t>
    </r>
    <r>
      <rPr>
        <sz val="9"/>
        <rFont val="Calibri"/>
        <family val="2"/>
        <scheme val="minor"/>
      </rPr>
      <t>1530 West 8th Avenue
Vancouver, BC
V6J 5M6</t>
    </r>
  </si>
  <si>
    <r>
      <t xml:space="preserve">PINTURA TOWNHOMES
</t>
    </r>
    <r>
      <rPr>
        <sz val="9"/>
        <rFont val="Calibri"/>
        <family val="2"/>
        <scheme val="minor"/>
      </rPr>
      <t>1532, 1536, 1538, 1556, 1558, 1566, 1568, 1576, 1578, and 1580 W. 8th Ave.
Vancouver, BC
V6J 4R8</t>
    </r>
    <r>
      <rPr>
        <b/>
        <sz val="9"/>
        <rFont val="Calibri"/>
        <family val="2"/>
        <scheme val="minor"/>
      </rPr>
      <t xml:space="preserve">
</t>
    </r>
  </si>
  <si>
    <r>
      <t xml:space="preserve">MIDTOWN (JOINT)
</t>
    </r>
    <r>
      <rPr>
        <sz val="9"/>
        <rFont val="Calibri"/>
        <family val="2"/>
        <scheme val="minor"/>
      </rPr>
      <t xml:space="preserve">2477 Carolina Street
583, 585, 595 &amp; 599 E. Broadway
Vancouver, BC V5T 1X4
</t>
    </r>
  </si>
  <si>
    <r>
      <t xml:space="preserve">MIDTOWN (RESIDENTIAL)
</t>
    </r>
    <r>
      <rPr>
        <sz val="9"/>
        <rFont val="Calibri"/>
        <family val="2"/>
        <scheme val="minor"/>
      </rPr>
      <t>2477 Carolina Street
Vancouver, BC V5T 1X4</t>
    </r>
  </si>
  <si>
    <r>
      <t xml:space="preserve">MIDTOWN (COMMERCIAL)
</t>
    </r>
    <r>
      <rPr>
        <sz val="9"/>
        <rFont val="Calibri"/>
        <family val="2"/>
        <scheme val="minor"/>
      </rPr>
      <t xml:space="preserve">583, 585, 595 &amp; 599 E. Broadway
Vancouver, BC V5T 1X4
</t>
    </r>
  </si>
  <si>
    <r>
      <t xml:space="preserve">BRADLEY HOUSE
</t>
    </r>
    <r>
      <rPr>
        <sz val="9"/>
        <rFont val="Calibri"/>
        <family val="2"/>
        <scheme val="minor"/>
      </rPr>
      <t>3107 Windsor Gate V3B 0L1
1135 Windsor Mews V3B 0L2
Coquitlam, BC</t>
    </r>
  </si>
  <si>
    <r>
      <t xml:space="preserve">LONDON MEWS
</t>
    </r>
    <r>
      <rPr>
        <sz val="9"/>
        <rFont val="Calibri"/>
        <family val="2"/>
        <scheme val="minor"/>
      </rPr>
      <t>6331-6333 No. 1 Road
Richmond, BC V7C 1T4</t>
    </r>
  </si>
  <si>
    <r>
      <t xml:space="preserve">EVELYN CLIFFSIDE FOUR (WEST)
</t>
    </r>
    <r>
      <rPr>
        <sz val="9"/>
        <color theme="3" tint="0.39997558519241921"/>
        <rFont val="Calibri"/>
        <family val="2"/>
        <scheme val="minor"/>
      </rPr>
      <t xml:space="preserve">876 Keith Road
West Vancouver, BC
</t>
    </r>
    <r>
      <rPr>
        <b/>
        <sz val="9"/>
        <color theme="3" tint="0.39997558519241921"/>
        <rFont val="Calibri"/>
        <family val="2"/>
        <scheme val="minor"/>
      </rPr>
      <t>EVELYN CLIFFSIDE FIVE (EAST)</t>
    </r>
    <r>
      <rPr>
        <sz val="9"/>
        <color theme="3" tint="0.39997558519241921"/>
        <rFont val="Calibri"/>
        <family val="2"/>
        <scheme val="minor"/>
      </rPr>
      <t xml:space="preserve">
870 Keith Road
West Vancouver, BC</t>
    </r>
  </si>
  <si>
    <r>
      <t xml:space="preserve">CITTI
</t>
    </r>
    <r>
      <rPr>
        <sz val="9"/>
        <rFont val="Calibri"/>
        <family val="2"/>
        <scheme val="minor"/>
      </rPr>
      <t>238 West Broadway
Vancouver, BC V5Y 0L2</t>
    </r>
  </si>
  <si>
    <r>
      <rPr>
        <b/>
        <sz val="9"/>
        <rFont val="Calibri"/>
        <family val="2"/>
      </rPr>
      <t>PORTOFINO (JOINT)</t>
    </r>
    <r>
      <rPr>
        <sz val="9"/>
        <rFont val="Calibri"/>
        <family val="2"/>
      </rPr>
      <t xml:space="preserve">
1383 Howe Street
Vancouver, BC
V6Z 2R5</t>
    </r>
  </si>
  <si>
    <r>
      <rPr>
        <b/>
        <sz val="9"/>
        <rFont val="Calibri"/>
        <family val="2"/>
      </rPr>
      <t>SIEMANS ESTATES LTD.</t>
    </r>
    <r>
      <rPr>
        <sz val="9"/>
        <rFont val="Calibri"/>
        <family val="2"/>
      </rPr>
      <t xml:space="preserve">
34313 Forrest Terrace
Abbotsford, BC
V2S 7L2</t>
    </r>
  </si>
  <si>
    <r>
      <rPr>
        <b/>
        <sz val="9"/>
        <rFont val="Calibri"/>
        <family val="2"/>
      </rPr>
      <t xml:space="preserve">WADDINGTON DEVELOPMENTS LTD.
</t>
    </r>
    <r>
      <rPr>
        <sz val="9"/>
        <rFont val="Calibri"/>
        <family val="2"/>
      </rPr>
      <t>32063 Mt. Waddington Ave.
Abbotsford, BC</t>
    </r>
  </si>
  <si>
    <r>
      <rPr>
        <b/>
        <sz val="9"/>
        <rFont val="Calibri"/>
        <family val="2"/>
      </rPr>
      <t>SHORELINE (Harbour Heights)</t>
    </r>
    <r>
      <rPr>
        <sz val="9"/>
        <rFont val="Calibri"/>
        <family val="2"/>
      </rPr>
      <t xml:space="preserve">
103 – 150 Shoreline Circle
Port Moody, BC
V3H 5B3</t>
    </r>
  </si>
  <si>
    <r>
      <rPr>
        <b/>
        <sz val="9"/>
        <rFont val="Calibri"/>
        <family val="2"/>
      </rPr>
      <t>FRASER APARTMENTS</t>
    </r>
    <r>
      <rPr>
        <sz val="9"/>
        <rFont val="Calibri"/>
        <family val="2"/>
      </rPr>
      <t xml:space="preserve">
6462 Fraser Street
Vancouver, BC
V5W 3A4</t>
    </r>
  </si>
  <si>
    <r>
      <t xml:space="preserve">WILLOUGHBY TOWN CENTRE
</t>
    </r>
    <r>
      <rPr>
        <sz val="9"/>
        <rFont val="Calibri"/>
        <family val="2"/>
        <scheme val="minor"/>
      </rPr>
      <t>Parcel 1 (Buildings A, B, C &amp; D)
20678 Willoughby Town Centre Drive
Langley, BC
V2Y 0L7
Parcel 2
20689 Willoughby Town Centre Drive
Langley, BC
V2Y 0P3
Parcel 4
20728 Willoughby Town Centre Drive
Langley, BC
V2Y 0L7
Parcel 7
20780 Willoughby Town Centre Drive
Langley, BC
V2Y 0L7</t>
    </r>
    <r>
      <rPr>
        <b/>
        <sz val="9"/>
        <rFont val="Calibri"/>
        <family val="2"/>
        <scheme val="minor"/>
      </rPr>
      <t xml:space="preserve">
</t>
    </r>
    <r>
      <rPr>
        <sz val="9"/>
        <rFont val="Calibri"/>
        <family val="2"/>
      </rPr>
      <t xml:space="preserve">
</t>
    </r>
  </si>
  <si>
    <r>
      <t xml:space="preserve">PARC VUE 
</t>
    </r>
    <r>
      <rPr>
        <sz val="9"/>
        <rFont val="Calibri"/>
        <family val="2"/>
      </rPr>
      <t>12040 – 222nd  St, 
Maple Ridge</t>
    </r>
  </si>
  <si>
    <r>
      <t xml:space="preserve">AUSTIN (Leo Montis Ventures Inc.)
</t>
    </r>
    <r>
      <rPr>
        <sz val="9"/>
        <rFont val="Calibri"/>
        <family val="2"/>
        <scheme val="minor"/>
      </rPr>
      <t>1143, 1147, 1199 Austin Avenue
Coquitlam, BC
V3K 3P4</t>
    </r>
  </si>
  <si>
    <r>
      <t xml:space="preserve">NORTH VAN (Leo Montis Ventures Inc.)
</t>
    </r>
    <r>
      <rPr>
        <sz val="9"/>
        <rFont val="Calibri"/>
        <family val="2"/>
        <scheme val="minor"/>
      </rPr>
      <t>146-160 2nd Street East
North Vancouver, BC
V7L 1C3</t>
    </r>
  </si>
  <si>
    <r>
      <t xml:space="preserve">MELVILLE MANOR
</t>
    </r>
    <r>
      <rPr>
        <sz val="9"/>
        <rFont val="Calibri"/>
        <family val="2"/>
        <scheme val="minor"/>
      </rPr>
      <t>1855 West 8th Avenue
Vancouver, B.C. 
V6J 1V9
*2940 Main Street - Million Energy Homes</t>
    </r>
  </si>
  <si>
    <r>
      <t xml:space="preserve">WILSON MANOR
</t>
    </r>
    <r>
      <rPr>
        <sz val="9"/>
        <rFont val="Calibri"/>
        <family val="2"/>
        <scheme val="minor"/>
      </rPr>
      <t>5978 Wilson Avenue
Burnaby, B.C.</t>
    </r>
  </si>
  <si>
    <r>
      <t xml:space="preserve">LYNNMOUR SOUTH
</t>
    </r>
    <r>
      <rPr>
        <sz val="9"/>
        <rFont val="Calibri"/>
        <family val="2"/>
      </rPr>
      <t>1923/1935/1947/1959 Purcell Way
North Vancouver, B.C.</t>
    </r>
  </si>
  <si>
    <r>
      <t xml:space="preserve">MARLBOROUGH
</t>
    </r>
    <r>
      <rPr>
        <sz val="9"/>
        <rFont val="Calibri"/>
        <family val="2"/>
      </rPr>
      <t>6540 Marlborough Avenue
Burnaby, BC
V5H 3M1</t>
    </r>
  </si>
  <si>
    <r>
      <t xml:space="preserve">PINNACLE LIVING
</t>
    </r>
    <r>
      <rPr>
        <sz val="9"/>
        <rFont val="Calibri"/>
        <family val="2"/>
        <scheme val="minor"/>
      </rPr>
      <t>1887 Crowe Street
Vancouver, BC V5Y 0B4
1863, 1867, 1869 Crowe St.
301, 303, 309, 333, 337, 339 W. 2nd Ave.
Vancouver, BC V5Y 1C9</t>
    </r>
  </si>
  <si>
    <r>
      <t xml:space="preserve">SAGE
</t>
    </r>
    <r>
      <rPr>
        <sz val="9"/>
        <rFont val="Calibri"/>
        <family val="2"/>
        <scheme val="minor"/>
      </rPr>
      <t>5782 Berton Avenue
Vancouver, BC V6S 0C1</t>
    </r>
  </si>
  <si>
    <r>
      <t xml:space="preserve">CLUB ARIA
</t>
    </r>
    <r>
      <rPr>
        <sz val="9"/>
        <color theme="4"/>
        <rFont val="Calibri"/>
        <family val="2"/>
        <scheme val="minor"/>
      </rPr>
      <t>2nd Floor - 400 Capilano Road
Port Moody, BC V3H 0E6</t>
    </r>
  </si>
  <si>
    <r>
      <t xml:space="preserve">MET 2
</t>
    </r>
    <r>
      <rPr>
        <sz val="9"/>
        <color rgb="FFFF0000"/>
        <rFont val="Calibri"/>
        <family val="2"/>
        <scheme val="minor"/>
      </rPr>
      <t>6538 Nelson Avenue
6518, 6522, 6528, 6532, 6536, 6548, 6556, 6558 Nelson Avenue
Burnaby, BC V5H 0G5</t>
    </r>
  </si>
  <si>
    <r>
      <t xml:space="preserve">MODELLO
</t>
    </r>
    <r>
      <rPr>
        <sz val="9"/>
        <rFont val="Calibri"/>
        <family val="2"/>
        <scheme val="minor"/>
      </rPr>
      <t>4360 Beresford Street
Burnaby, BC V5H 0G2</t>
    </r>
  </si>
  <si>
    <r>
      <t xml:space="preserve">MELVILLE COMMERCIAL SECTION
</t>
    </r>
    <r>
      <rPr>
        <sz val="9"/>
        <rFont val="Calibri"/>
        <family val="2"/>
        <scheme val="minor"/>
      </rPr>
      <t>550, 560, 570, 580 Bute Street
Vancouver BC V6E 3M1</t>
    </r>
  </si>
  <si>
    <r>
      <t xml:space="preserve">MODERN COMMERCIAL SECTION
</t>
    </r>
    <r>
      <rPr>
        <sz val="9"/>
        <rFont val="Calibri"/>
        <family val="2"/>
        <scheme val="minor"/>
      </rPr>
      <t>1009 Harwood Street
Vancouver, BC V6E 0C2</t>
    </r>
  </si>
  <si>
    <r>
      <t xml:space="preserve">CAMBIE STAR
</t>
    </r>
    <r>
      <rPr>
        <sz val="9"/>
        <rFont val="Calibri"/>
        <family val="2"/>
        <scheme val="minor"/>
      </rPr>
      <t>4083 Cambie Street
Vancouver, BC V5Z 0G9</t>
    </r>
  </si>
  <si>
    <r>
      <t xml:space="preserve">THE SPOT
</t>
    </r>
    <r>
      <rPr>
        <sz val="9"/>
        <rFont val="Calibri"/>
        <family val="2"/>
        <scheme val="minor"/>
      </rPr>
      <t>2888 Cambie Street
Vancouver, BC V5Z 0H3</t>
    </r>
  </si>
  <si>
    <r>
      <rPr>
        <b/>
        <sz val="9"/>
        <rFont val="Calibri"/>
        <family val="2"/>
        <scheme val="minor"/>
      </rPr>
      <t xml:space="preserve">GALILEO COMMERCIAL SECTION
</t>
    </r>
    <r>
      <rPr>
        <sz val="9"/>
        <rFont val="Calibri"/>
        <family val="2"/>
        <scheme val="minor"/>
      </rPr>
      <t>822 Homer Street
Vancouver, BC V6B 6M3</t>
    </r>
  </si>
  <si>
    <r>
      <t xml:space="preserve">THE DAWSON (JOINT)
</t>
    </r>
    <r>
      <rPr>
        <sz val="9"/>
        <rFont val="Calibri"/>
        <family val="2"/>
        <scheme val="minor"/>
      </rPr>
      <t>4468 Dawson Street
Burnaby, BC V5C 0J9</t>
    </r>
  </si>
  <si>
    <r>
      <t xml:space="preserve">THE DAWSON (RESIDENTIAL SECTION)
</t>
    </r>
    <r>
      <rPr>
        <sz val="9"/>
        <rFont val="Calibri"/>
        <family val="2"/>
        <scheme val="minor"/>
      </rPr>
      <t>4468 Dawson Street
Burnaby, BC V5C 0J9</t>
    </r>
  </si>
  <si>
    <r>
      <t xml:space="preserve">THE DAWSON (COMMERCIAL SECTION)
</t>
    </r>
    <r>
      <rPr>
        <sz val="9"/>
        <rFont val="Calibri"/>
        <family val="2"/>
        <scheme val="minor"/>
      </rPr>
      <t>4472, 4476, 4480 Dawson Street
2225, 2229 Willingdon Avenue
Burnaby, BC V5C 0J9</t>
    </r>
  </si>
  <si>
    <r>
      <t xml:space="preserve">RIVA 3
</t>
    </r>
    <r>
      <rPr>
        <sz val="9"/>
        <color theme="4"/>
        <rFont val="Calibri"/>
        <family val="2"/>
        <scheme val="minor"/>
      </rPr>
      <t>7008 River Parkway
Richmond, BC V6X 0R1</t>
    </r>
  </si>
  <si>
    <r>
      <t xml:space="preserve">PARK AVENUE WEST
</t>
    </r>
    <r>
      <rPr>
        <sz val="9"/>
        <color rgb="FFFF0000"/>
        <rFont val="Calibri"/>
        <family val="2"/>
        <scheme val="minor"/>
      </rPr>
      <t xml:space="preserve">13696 100th Avenue
Surrey, BC V3T 0L5
</t>
    </r>
    <r>
      <rPr>
        <b/>
        <sz val="9"/>
        <color rgb="FFFF0000"/>
        <rFont val="Calibri"/>
        <family val="2"/>
        <scheme val="minor"/>
      </rPr>
      <t xml:space="preserve">Townhomes:
</t>
    </r>
    <r>
      <rPr>
        <sz val="9"/>
        <color rgb="FFFF0000"/>
        <rFont val="Calibri"/>
        <family val="2"/>
        <scheme val="minor"/>
      </rPr>
      <t>TH1-7
13720 100th Avenue 
Surrey, BC V3T 0L4</t>
    </r>
  </si>
  <si>
    <r>
      <t xml:space="preserve">CROWN
</t>
    </r>
    <r>
      <rPr>
        <sz val="9"/>
        <rFont val="Calibri"/>
        <family val="2"/>
        <scheme val="minor"/>
      </rPr>
      <t>520 Como Lake Avenue
Coquitlam, BC V3J 0E8</t>
    </r>
  </si>
  <si>
    <r>
      <t xml:space="preserve">CENTREVIEW
</t>
    </r>
    <r>
      <rPr>
        <sz val="9"/>
        <color theme="4"/>
        <rFont val="Calibri"/>
        <family val="2"/>
        <scheme val="minor"/>
      </rPr>
      <t xml:space="preserve">Tower A: 112 East 13th Street
Tower B: 125 East 14th Street
North Vancouver, BC </t>
    </r>
  </si>
  <si>
    <r>
      <t xml:space="preserve">TEMPO (JOINT)
</t>
    </r>
    <r>
      <rPr>
        <sz val="9"/>
        <rFont val="Calibri"/>
        <family val="2"/>
        <scheme val="minor"/>
      </rPr>
      <t>Phase 1:</t>
    </r>
    <r>
      <rPr>
        <b/>
        <sz val="9"/>
        <rFont val="Calibri"/>
        <family val="2"/>
        <scheme val="minor"/>
      </rPr>
      <t xml:space="preserve">
</t>
    </r>
    <r>
      <rPr>
        <sz val="9"/>
        <rFont val="Calibri"/>
        <family val="2"/>
        <scheme val="minor"/>
      </rPr>
      <t xml:space="preserve">7688 Alderbridge Way V6X 0P7
5619 Cedarbridge Way V6X 0P8
Richmond, BC
Phase 2:
7708 Alderbridge Way
7811 Lansdowne Road
Richmond, BC </t>
    </r>
  </si>
  <si>
    <r>
      <t xml:space="preserve">TEMPO (RESIDENTIAL SECTION)
</t>
    </r>
    <r>
      <rPr>
        <sz val="9"/>
        <rFont val="Calibri"/>
        <family val="2"/>
        <scheme val="minor"/>
      </rPr>
      <t>Phase 1:</t>
    </r>
    <r>
      <rPr>
        <b/>
        <sz val="9"/>
        <rFont val="Calibri"/>
        <family val="2"/>
        <scheme val="minor"/>
      </rPr>
      <t xml:space="preserve">
</t>
    </r>
    <r>
      <rPr>
        <sz val="9"/>
        <rFont val="Calibri"/>
        <family val="2"/>
        <scheme val="minor"/>
      </rPr>
      <t xml:space="preserve">7688 Alderbridge Way V6X 0P7
5619 Cedarbridge Way V6X 0P8
Richmond, BC
Phase 2:
7708 Alderbridge Way
7811 Lansdowne Road
Richmond, BC </t>
    </r>
  </si>
  <si>
    <r>
      <t xml:space="preserve">TEMPO (COMMERCIAL SECTION)
</t>
    </r>
    <r>
      <rPr>
        <sz val="9"/>
        <rFont val="Calibri"/>
        <family val="2"/>
        <scheme val="minor"/>
      </rPr>
      <t xml:space="preserve">7688 Alderbridge Way V6X 0P7
7708 Alderbridge Way V6X 2A2
Richmond, BC </t>
    </r>
  </si>
  <si>
    <r>
      <t xml:space="preserve">PARK ESTATES
</t>
    </r>
    <r>
      <rPr>
        <sz val="9"/>
        <color rgb="FFFF0000"/>
        <rFont val="Calibri"/>
        <family val="2"/>
        <scheme val="minor"/>
      </rPr>
      <t>8988 Patterson Road
Richmond, BC
V6X 0R2</t>
    </r>
    <r>
      <rPr>
        <b/>
        <sz val="9"/>
        <color rgb="FFFF0000"/>
        <rFont val="Calibri"/>
        <family val="2"/>
        <scheme val="minor"/>
      </rPr>
      <t xml:space="preserve">
</t>
    </r>
  </si>
  <si>
    <r>
      <t xml:space="preserve">CENTRAL ESTATES
</t>
    </r>
    <r>
      <rPr>
        <sz val="9"/>
        <color rgb="FFFF0000"/>
        <rFont val="Calibri"/>
        <family val="2"/>
        <scheme val="minor"/>
      </rPr>
      <t>3233 Ketcheson Road
Richmond, B.C.
V6X 0R3</t>
    </r>
    <r>
      <rPr>
        <b/>
        <sz val="9"/>
        <color rgb="FFFF0000"/>
        <rFont val="Calibri"/>
        <family val="2"/>
        <scheme val="minor"/>
      </rPr>
      <t xml:space="preserve">
</t>
    </r>
  </si>
  <si>
    <r>
      <t xml:space="preserve">MODELLO SHARED COMMON SPACE PLAN
</t>
    </r>
    <r>
      <rPr>
        <sz val="9"/>
        <rFont val="Calibri"/>
        <family val="2"/>
        <scheme val="minor"/>
      </rPr>
      <t>4360 Beresford Street
Burnaby, BC V5H 0G2</t>
    </r>
  </si>
  <si>
    <r>
      <t xml:space="preserve">ALTUS
</t>
    </r>
    <r>
      <rPr>
        <sz val="9"/>
        <color rgb="FF0070C0"/>
        <rFont val="Calibri"/>
        <family val="2"/>
        <scheme val="minor"/>
      </rPr>
      <t>4485 Skyline Drive
Burnaby, BC
V5C 0J2</t>
    </r>
    <r>
      <rPr>
        <b/>
        <sz val="9"/>
        <color rgb="FF0070C0"/>
        <rFont val="Calibri"/>
        <family val="2"/>
        <scheme val="minor"/>
      </rPr>
      <t xml:space="preserve">
</t>
    </r>
  </si>
  <si>
    <r>
      <t xml:space="preserve">THE BENJAMIN
</t>
    </r>
    <r>
      <rPr>
        <sz val="9"/>
        <rFont val="Calibri"/>
        <family val="2"/>
        <scheme val="minor"/>
      </rPr>
      <t>20175 53 Avenue
Langley, BC
V3A 0J8</t>
    </r>
    <r>
      <rPr>
        <b/>
        <sz val="9"/>
        <rFont val="Calibri"/>
        <family val="2"/>
        <scheme val="minor"/>
      </rPr>
      <t xml:space="preserve">
</t>
    </r>
  </si>
  <si>
    <r>
      <t xml:space="preserve">TOWER GREEN AT WEST
</t>
    </r>
    <r>
      <rPr>
        <sz val="9"/>
        <rFont val="Calibri"/>
        <family val="2"/>
        <scheme val="minor"/>
      </rPr>
      <t>159 West 2nd Avenue
Vancouver, BC
V5Y 0L8</t>
    </r>
  </si>
  <si>
    <r>
      <t xml:space="preserve">ABBOTT PLACE - JOINT ONLY
</t>
    </r>
    <r>
      <rPr>
        <sz val="9"/>
        <rFont val="Calibri"/>
        <family val="2"/>
        <scheme val="minor"/>
      </rPr>
      <t>233 Abbott Street
Vancouver, BC
V6B 2K7</t>
    </r>
  </si>
  <si>
    <r>
      <rPr>
        <b/>
        <sz val="9"/>
        <rFont val="Calibri"/>
        <family val="2"/>
        <scheme val="minor"/>
      </rPr>
      <t>BINNING TOWER</t>
    </r>
    <r>
      <rPr>
        <sz val="9"/>
        <rFont val="Calibri"/>
        <family val="2"/>
        <scheme val="minor"/>
      </rPr>
      <t xml:space="preserve">
3355 Binning Road
Vancouver, BC
V6S 0J1</t>
    </r>
  </si>
  <si>
    <r>
      <t xml:space="preserve">X61  - JOINT
</t>
    </r>
    <r>
      <rPr>
        <sz val="9"/>
        <rFont val="Calibri"/>
        <family val="2"/>
        <scheme val="minor"/>
      </rPr>
      <t>1061 Marine Drive
North Vancouver, BC
V7P 1S6</t>
    </r>
    <r>
      <rPr>
        <b/>
        <sz val="9"/>
        <rFont val="Calibri"/>
        <family val="2"/>
        <scheme val="minor"/>
      </rPr>
      <t xml:space="preserve">
</t>
    </r>
  </si>
  <si>
    <r>
      <t xml:space="preserve">X61  - RESIDENTIAL
</t>
    </r>
    <r>
      <rPr>
        <sz val="9"/>
        <rFont val="Calibri"/>
        <family val="2"/>
        <scheme val="minor"/>
      </rPr>
      <t>1061 Marine Drive
North Vancouver, BC
V7P 1S6</t>
    </r>
    <r>
      <rPr>
        <b/>
        <sz val="9"/>
        <rFont val="Calibri"/>
        <family val="2"/>
        <scheme val="minor"/>
      </rPr>
      <t xml:space="preserve">
</t>
    </r>
  </si>
  <si>
    <r>
      <t xml:space="preserve">X61  - COMMERCIAL
</t>
    </r>
    <r>
      <rPr>
        <sz val="9"/>
        <rFont val="Calibri"/>
        <family val="2"/>
        <scheme val="minor"/>
      </rPr>
      <t>1061 Marine Drive
North Vancouver, BC
V7P 1S6</t>
    </r>
    <r>
      <rPr>
        <b/>
        <sz val="9"/>
        <rFont val="Calibri"/>
        <family val="2"/>
        <scheme val="minor"/>
      </rPr>
      <t xml:space="preserve">
</t>
    </r>
  </si>
  <si>
    <r>
      <t xml:space="preserve">MONARCH
</t>
    </r>
    <r>
      <rPr>
        <sz val="9"/>
        <rFont val="Calibri"/>
        <family val="2"/>
        <scheme val="minor"/>
      </rPr>
      <t>4427 Cambie Street
518 West 28th Avenue
Vancouver, BC
V5Z 2Y8</t>
    </r>
  </si>
  <si>
    <r>
      <t xml:space="preserve">JAMES WALK
</t>
    </r>
    <r>
      <rPr>
        <sz val="9"/>
        <rFont val="Calibri"/>
        <family val="2"/>
        <scheme val="minor"/>
      </rPr>
      <t>168 East 35th Avenue
Vancouver, BC
V5W 1A6</t>
    </r>
  </si>
  <si>
    <r>
      <t xml:space="preserve">V6A
</t>
    </r>
    <r>
      <rPr>
        <sz val="9"/>
        <rFont val="Calibri"/>
        <family val="2"/>
        <scheme val="minor"/>
      </rPr>
      <t>221 Union Street
Vancouver, BC
V6A 0B4</t>
    </r>
  </si>
  <si>
    <r>
      <t xml:space="preserve">CONCORD GARDENS PARK ESTATES AFFORDABLE HOUSING
</t>
    </r>
    <r>
      <rPr>
        <sz val="9"/>
        <color rgb="FFFF0000"/>
        <rFont val="Calibri"/>
        <family val="2"/>
        <scheme val="minor"/>
      </rPr>
      <t>8988 Patterson Road
Richmond, BC
V6X 0R2</t>
    </r>
  </si>
  <si>
    <r>
      <t xml:space="preserve">SOUTH POINT WALK 2
</t>
    </r>
    <r>
      <rPr>
        <sz val="9"/>
        <rFont val="Calibri"/>
        <family val="2"/>
        <scheme val="minor"/>
      </rPr>
      <t xml:space="preserve">2960 151 Street, Surrey, BC V4P 0G3
2988 &amp; 2999 151 Street, Surrey, BC V4P 0G1
</t>
    </r>
    <r>
      <rPr>
        <b/>
        <sz val="9"/>
        <rFont val="Calibri"/>
        <family val="2"/>
        <scheme val="minor"/>
      </rPr>
      <t xml:space="preserve">
</t>
    </r>
  </si>
  <si>
    <r>
      <t xml:space="preserve">WALDEN
</t>
    </r>
    <r>
      <rPr>
        <sz val="9"/>
        <rFont val="Calibri"/>
        <family val="2"/>
        <scheme val="minor"/>
      </rPr>
      <t>20451 84th Avenue 
Langley B.C.
V2Y 0X5</t>
    </r>
    <r>
      <rPr>
        <b/>
        <sz val="9"/>
        <rFont val="Calibri"/>
        <family val="2"/>
        <scheme val="minor"/>
      </rPr>
      <t xml:space="preserve">
</t>
    </r>
    <r>
      <rPr>
        <sz val="9"/>
        <rFont val="Calibri"/>
        <family val="2"/>
        <scheme val="minor"/>
      </rPr>
      <t xml:space="preserve">
</t>
    </r>
    <r>
      <rPr>
        <b/>
        <sz val="9"/>
        <rFont val="Calibri"/>
        <family val="2"/>
        <scheme val="minor"/>
      </rPr>
      <t xml:space="preserve">
</t>
    </r>
  </si>
  <si>
    <r>
      <t xml:space="preserve">THE GRAND AT LANSDOWNE - JOINT
</t>
    </r>
    <r>
      <rPr>
        <sz val="9"/>
        <rFont val="Calibri"/>
        <family val="2"/>
        <scheme val="minor"/>
      </rPr>
      <t xml:space="preserve">5599 Cooney Road
Richmond, B.C. 
V6X 0N8 </t>
    </r>
  </si>
  <si>
    <r>
      <t xml:space="preserve">THE GRAND AT LANSDOWNE - RESIDENTIAL SECTION
</t>
    </r>
    <r>
      <rPr>
        <sz val="9"/>
        <rFont val="Calibri"/>
        <family val="2"/>
        <scheme val="minor"/>
      </rPr>
      <t xml:space="preserve">5599 Cooney Road
Richmond, B.C. 
V6X 0N8 </t>
    </r>
  </si>
  <si>
    <r>
      <t xml:space="preserve">NEW HORIZON ESTATES
</t>
    </r>
    <r>
      <rPr>
        <sz val="9"/>
        <rFont val="Calibri"/>
        <family val="2"/>
        <scheme val="minor"/>
      </rPr>
      <t>3190 Tahsis Avenue
Coquitlam, B.C. 
V3B 5C2</t>
    </r>
  </si>
  <si>
    <r>
      <t xml:space="preserve">EASTON
</t>
    </r>
    <r>
      <rPr>
        <sz val="9"/>
        <rFont val="Calibri"/>
        <family val="2"/>
        <scheme val="minor"/>
      </rPr>
      <t>617 Smith Avenue
Coquitlam, BC
V3J 0C3</t>
    </r>
  </si>
  <si>
    <r>
      <t xml:space="preserve">THE ROYAL AT VICTORIA HILL 
</t>
    </r>
    <r>
      <rPr>
        <sz val="9"/>
        <rFont val="Calibri"/>
        <family val="2"/>
        <scheme val="minor"/>
      </rPr>
      <t>26 and 28 East Royal Avenue
New Westminster, B.C. 
V3L 0B7</t>
    </r>
  </si>
  <si>
    <r>
      <t xml:space="preserve">THE CHARLESON
</t>
    </r>
    <r>
      <rPr>
        <sz val="9"/>
        <rFont val="Calibri"/>
        <family val="2"/>
        <scheme val="minor"/>
      </rPr>
      <t>499 Pacific Street
Vancouver, BC
V6B 0N4</t>
    </r>
  </si>
  <si>
    <r>
      <t xml:space="preserve">AVANTI
</t>
    </r>
    <r>
      <rPr>
        <sz val="9"/>
        <rFont val="Calibri"/>
        <family val="2"/>
        <scheme val="minor"/>
      </rPr>
      <t>8333 Sweet Avenue (Tower A)</t>
    </r>
    <r>
      <rPr>
        <b/>
        <sz val="9"/>
        <rFont val="Calibri"/>
        <family val="2"/>
        <scheme val="minor"/>
      </rPr>
      <t xml:space="preserve">
</t>
    </r>
    <r>
      <rPr>
        <sz val="9"/>
        <rFont val="Calibri"/>
        <family val="2"/>
        <scheme val="minor"/>
      </rPr>
      <t xml:space="preserve">3331 Brown Road (Tower B)
3333 Brown Road (Tower C)
Richmond, B.C. </t>
    </r>
  </si>
  <si>
    <r>
      <t xml:space="preserve">INGASTOWN
</t>
    </r>
    <r>
      <rPr>
        <sz val="9"/>
        <rFont val="Calibri"/>
        <family val="2"/>
        <scheme val="minor"/>
      </rPr>
      <t>150 East Cordova Street
Vancouver, B.C. 
V6A 1K9</t>
    </r>
  </si>
  <si>
    <r>
      <t xml:space="preserve">UNION
</t>
    </r>
    <r>
      <rPr>
        <sz val="9"/>
        <rFont val="Calibri"/>
        <family val="2"/>
        <scheme val="minor"/>
      </rPr>
      <t>518 Whiting Way
Coquitlam, B.C.
V3J 0H7</t>
    </r>
    <r>
      <rPr>
        <b/>
        <sz val="9"/>
        <rFont val="Calibri"/>
        <family val="2"/>
        <scheme val="minor"/>
      </rPr>
      <t xml:space="preserve">
</t>
    </r>
  </si>
  <si>
    <r>
      <t xml:space="preserve">CANOPY AT TYNEHEAD PARK
</t>
    </r>
    <r>
      <rPr>
        <sz val="9"/>
        <rFont val="Calibri"/>
        <family val="2"/>
        <scheme val="minor"/>
      </rPr>
      <t>9718 161A Street 
9688 162A Street
Surrey, B.C.
V4N 6S7</t>
    </r>
    <r>
      <rPr>
        <b/>
        <sz val="9"/>
        <rFont val="Calibri"/>
        <family val="2"/>
        <scheme val="minor"/>
      </rPr>
      <t xml:space="preserve">
</t>
    </r>
  </si>
  <si>
    <r>
      <t xml:space="preserve">ALTITUDE
</t>
    </r>
    <r>
      <rPr>
        <sz val="9"/>
        <rFont val="Calibri"/>
        <family val="2"/>
        <scheme val="minor"/>
      </rPr>
      <t>9060 University Crescent (V5A 0B7)
9080 University Crescent (V5A 0E1)
Burnaby, B.C.</t>
    </r>
    <r>
      <rPr>
        <b/>
        <sz val="9"/>
        <rFont val="Calibri"/>
        <family val="2"/>
        <scheme val="minor"/>
      </rPr>
      <t xml:space="preserve">
</t>
    </r>
  </si>
  <si>
    <r>
      <t xml:space="preserve">MARINE + FELL - JOINT
</t>
    </r>
    <r>
      <rPr>
        <sz val="9"/>
        <rFont val="Calibri"/>
        <family val="2"/>
        <scheme val="minor"/>
      </rPr>
      <t>725 Marine Drive
North Vancouver, B.C.</t>
    </r>
    <r>
      <rPr>
        <b/>
        <sz val="9"/>
        <rFont val="Calibri"/>
        <family val="2"/>
        <scheme val="minor"/>
      </rPr>
      <t xml:space="preserve">
</t>
    </r>
    <r>
      <rPr>
        <sz val="9"/>
        <rFont val="Calibri"/>
        <family val="2"/>
        <scheme val="minor"/>
      </rPr>
      <t>V7M 0G2</t>
    </r>
  </si>
  <si>
    <r>
      <t xml:space="preserve">MARINE + FELL - RESIDENTIAL
</t>
    </r>
    <r>
      <rPr>
        <sz val="9"/>
        <rFont val="Calibri"/>
        <family val="2"/>
        <scheme val="minor"/>
      </rPr>
      <t>725 Marine Drive
North Vancouver, B.C.</t>
    </r>
    <r>
      <rPr>
        <b/>
        <sz val="9"/>
        <rFont val="Calibri"/>
        <family val="2"/>
        <scheme val="minor"/>
      </rPr>
      <t xml:space="preserve">
</t>
    </r>
    <r>
      <rPr>
        <sz val="9"/>
        <rFont val="Calibri"/>
        <family val="2"/>
        <scheme val="minor"/>
      </rPr>
      <t>V7M 0G2</t>
    </r>
  </si>
  <si>
    <r>
      <t xml:space="preserve">BENTLEY WYND
</t>
    </r>
    <r>
      <rPr>
        <sz val="9"/>
        <rFont val="Calibri"/>
        <family val="2"/>
        <scheme val="minor"/>
      </rPr>
      <t xml:space="preserve">7660 &amp; 7680 Minoru Blvd 
7651 &amp; 7671 Abercrombie Dr. 
Richmond, B.C. 
V5Y 1Z5 
</t>
    </r>
    <r>
      <rPr>
        <b/>
        <sz val="9"/>
        <rFont val="Calibri"/>
        <family val="2"/>
        <scheme val="minor"/>
      </rPr>
      <t xml:space="preserve">
</t>
    </r>
  </si>
  <si>
    <r>
      <t xml:space="preserve">INGASTOWN - Residential 
</t>
    </r>
    <r>
      <rPr>
        <sz val="9"/>
        <rFont val="Calibri"/>
        <family val="2"/>
        <scheme val="minor"/>
      </rPr>
      <t>150 East Cordova Street
Vancouver, B.C. 
V6A 1K9</t>
    </r>
  </si>
  <si>
    <r>
      <t xml:space="preserve">INGASTOWN - Commercial 
</t>
    </r>
    <r>
      <rPr>
        <sz val="9"/>
        <rFont val="Calibri"/>
        <family val="2"/>
        <scheme val="minor"/>
      </rPr>
      <t>150 East Cordova Street
Vancouver, B.C. 
V6A 1K9</t>
    </r>
  </si>
  <si>
    <r>
      <t xml:space="preserve">VERDANT
</t>
    </r>
    <r>
      <rPr>
        <sz val="9"/>
        <rFont val="Calibri"/>
        <family val="2"/>
        <scheme val="minor"/>
      </rPr>
      <t xml:space="preserve">9191 University Crescent
Burnaby, B.C. 
V5A 0A1 </t>
    </r>
    <r>
      <rPr>
        <b/>
        <sz val="9"/>
        <rFont val="Calibri"/>
        <family val="2"/>
        <scheme val="minor"/>
      </rPr>
      <t xml:space="preserve">
</t>
    </r>
  </si>
  <si>
    <r>
      <t xml:space="preserve">188 KEEFER
</t>
    </r>
    <r>
      <rPr>
        <sz val="9"/>
        <rFont val="Calibri"/>
        <family val="2"/>
        <scheme val="minor"/>
      </rPr>
      <t>188 Keefer Street
Vancouver, B.C. 
V6A 0E3</t>
    </r>
    <r>
      <rPr>
        <b/>
        <sz val="9"/>
        <rFont val="Calibri"/>
        <family val="2"/>
        <scheme val="minor"/>
      </rPr>
      <t xml:space="preserve">
</t>
    </r>
  </si>
  <si>
    <r>
      <t xml:space="preserve">MILANO
</t>
    </r>
    <r>
      <rPr>
        <sz val="9"/>
        <rFont val="Calibri"/>
        <family val="2"/>
        <scheme val="minor"/>
      </rPr>
      <t>Townhouses – 2318, 2328, 2338, 2368 Alpha 
Tower - 2378 Alpha Avenue
Burnaby, BC
V5C 0K2</t>
    </r>
  </si>
  <si>
    <r>
      <t xml:space="preserve">THE GRAND AT LANSDOWNE - COMMERCIAL SECTION
</t>
    </r>
    <r>
      <rPr>
        <sz val="9"/>
        <rFont val="Calibri"/>
        <family val="2"/>
      </rPr>
      <t xml:space="preserve">5599 Cooney Road
Richmond, B.C. 
V6X 0N8 </t>
    </r>
  </si>
  <si>
    <r>
      <t xml:space="preserve">ELLE - JOINT
</t>
    </r>
    <r>
      <rPr>
        <sz val="9"/>
        <rFont val="Calibri"/>
        <family val="2"/>
      </rPr>
      <t>6533 Buswell Street
Richmond, BC
V6Y 0J6</t>
    </r>
  </si>
  <si>
    <r>
      <t xml:space="preserve">ELLE - RESIDENTIAL SECTION
</t>
    </r>
    <r>
      <rPr>
        <sz val="9"/>
        <rFont val="Calibri"/>
        <family val="2"/>
      </rPr>
      <t>6533 Buswell Street
Richmond, BC
V6Y 0J6</t>
    </r>
  </si>
  <si>
    <r>
      <t xml:space="preserve">LE SOLEIL - JOINT
</t>
    </r>
    <r>
      <rPr>
        <sz val="9"/>
        <rFont val="Calibri"/>
        <family val="2"/>
      </rPr>
      <t>567 Hornby Street
Vancouver, BC
V6C 3E8</t>
    </r>
  </si>
  <si>
    <r>
      <t xml:space="preserve">THE GRAYSON
</t>
    </r>
    <r>
      <rPr>
        <sz val="9"/>
        <color theme="1"/>
        <rFont val="Calibri"/>
        <family val="2"/>
      </rPr>
      <t>489 West 26th Ave.
Vancouver, B.C. 
V5Y 0M8
Townhouses 481, 483, 485 &amp; 487 West 26th Ave.
V5Z 2Y1</t>
    </r>
  </si>
  <si>
    <r>
      <t xml:space="preserve">NORQUAY NINE
</t>
    </r>
    <r>
      <rPr>
        <sz val="9"/>
        <color theme="1"/>
        <rFont val="Calibri"/>
        <family val="2"/>
      </rPr>
      <t xml:space="preserve">2388 East 34th Avenue
5001, 5003, 5005, 5007, 5009, 5011, 5013, 5015 St. Margaret's Street
Vancouver, B.C. 
V5R 0H4
</t>
    </r>
  </si>
  <si>
    <r>
      <t xml:space="preserve">ARNE
</t>
    </r>
    <r>
      <rPr>
        <sz val="9"/>
        <color theme="1"/>
        <rFont val="Calibri"/>
        <family val="2"/>
      </rPr>
      <t xml:space="preserve">321 East 16th Avenue 
311 East 16th Avenue
Vancouver, BC
V5T 2T7
</t>
    </r>
  </si>
  <si>
    <r>
      <t xml:space="preserve">BRYDON GREEN
</t>
    </r>
    <r>
      <rPr>
        <sz val="9"/>
        <color theme="1"/>
        <rFont val="Calibri"/>
        <family val="2"/>
      </rPr>
      <t>19940 Brydon Crescent
Langley, B.C.
V3A 0K8</t>
    </r>
    <r>
      <rPr>
        <b/>
        <sz val="9"/>
        <color theme="1"/>
        <rFont val="Calibri"/>
        <family val="2"/>
      </rPr>
      <t xml:space="preserve">
</t>
    </r>
  </si>
  <si>
    <r>
      <t xml:space="preserve">BROOKMERE 
</t>
    </r>
    <r>
      <rPr>
        <sz val="9"/>
        <color theme="3" tint="0.39997558519241921"/>
        <rFont val="Calibri"/>
        <family val="2"/>
        <scheme val="minor"/>
      </rPr>
      <t xml:space="preserve">530 Whiting Way
Coquitlam, B.C.
V3J 0J4 </t>
    </r>
    <r>
      <rPr>
        <b/>
        <sz val="9"/>
        <color theme="3" tint="0.39997558519241921"/>
        <rFont val="Calibri"/>
        <family val="2"/>
        <scheme val="minor"/>
      </rPr>
      <t xml:space="preserve">
</t>
    </r>
    <r>
      <rPr>
        <b/>
        <sz val="9"/>
        <color theme="3" tint="0.39997558519241921"/>
        <rFont val="Calibri"/>
        <family val="2"/>
      </rPr>
      <t xml:space="preserve">
</t>
    </r>
  </si>
  <si>
    <r>
      <t xml:space="preserve">THE REGENT AT KING EDWARD
</t>
    </r>
    <r>
      <rPr>
        <sz val="9"/>
        <color theme="1"/>
        <rFont val="Calibri"/>
        <family val="2"/>
      </rPr>
      <t>523 W. King Edward Avenue
Townhouses:
531, 533, 535 &amp; 537 W. King Edward Ave.
Vancouver, BC 
V5Z 0J3</t>
    </r>
  </si>
  <si>
    <r>
      <t xml:space="preserve">CHOKLIT PARK TERRACES
</t>
    </r>
    <r>
      <rPr>
        <sz val="9"/>
        <color theme="1"/>
        <rFont val="Calibri"/>
        <family val="2"/>
      </rPr>
      <t>1101, 1103, 1105, 1107 West 7th Avenue
Vancouver, B.C. 
V6H 1B5</t>
    </r>
  </si>
  <si>
    <r>
      <t xml:space="preserve">THE PARK
</t>
    </r>
    <r>
      <rPr>
        <sz val="9"/>
        <color theme="1"/>
        <rFont val="Calibri"/>
        <family val="2"/>
      </rPr>
      <t>4900 Lennox Lane
Burnaby, B.C.
V5H 0G9
Townhouses:
6638, 6632, 6628, 6622, 6612 Nelson Ave
6671, 6673, 6675, 6677, 6679, 6681 Dunblane Ave 
Burnaby, B.C.
V5H 0G9</t>
    </r>
  </si>
  <si>
    <r>
      <t xml:space="preserve">THE EMERSON
</t>
    </r>
    <r>
      <rPr>
        <sz val="9"/>
        <color theme="1"/>
        <rFont val="Calibri"/>
        <family val="2"/>
      </rPr>
      <t>22315 122nd Avenue
Maple Ridge, B.C. 
V2X 4K7</t>
    </r>
    <r>
      <rPr>
        <b/>
        <sz val="9"/>
        <color theme="1"/>
        <rFont val="Calibri"/>
        <family val="2"/>
      </rPr>
      <t xml:space="preserve">
</t>
    </r>
  </si>
  <si>
    <r>
      <t xml:space="preserve">EIGHT ON CHAMBERS
</t>
    </r>
    <r>
      <rPr>
        <sz val="9"/>
        <color theme="1"/>
        <rFont val="Calibri"/>
        <family val="2"/>
      </rPr>
      <t>5031-5045 Chambers Street
Vancouver, B.C.
V5R 3L8</t>
    </r>
    <r>
      <rPr>
        <b/>
        <sz val="9"/>
        <color theme="1"/>
        <rFont val="Calibri"/>
        <family val="2"/>
      </rPr>
      <t xml:space="preserve">
</t>
    </r>
  </si>
  <si>
    <r>
      <t xml:space="preserve">WILLOW &amp; OAK
</t>
    </r>
    <r>
      <rPr>
        <sz val="9"/>
        <color theme="1"/>
        <rFont val="Calibri"/>
        <family val="2"/>
      </rPr>
      <t>11272 240th Street
Maple Ridge, B.C. 
V2W 0J8</t>
    </r>
  </si>
  <si>
    <r>
      <t xml:space="preserve">Phase 1 - 9 units
Phase 2 - 23 units
Phase 3 - 22 units 
</t>
    </r>
    <r>
      <rPr>
        <b/>
        <sz val="9"/>
        <color theme="1"/>
        <rFont val="Calibri"/>
        <family val="2"/>
      </rPr>
      <t>Total - 54 units</t>
    </r>
  </si>
  <si>
    <r>
      <t xml:space="preserve">IMPERIAL 
</t>
    </r>
    <r>
      <rPr>
        <sz val="9"/>
        <color theme="1"/>
        <rFont val="Calibri"/>
        <family val="2"/>
      </rPr>
      <t xml:space="preserve">5051 Imperial Street
5033, 5035, 5037, 5039 Imperial Street
6779, 6781, 6783, 6785, 6787 Marlborough Avenue
Burnaby, B.C. 
V5J 0J3
</t>
    </r>
  </si>
  <si>
    <r>
      <t xml:space="preserve">THE EDGE
</t>
    </r>
    <r>
      <rPr>
        <sz val="9"/>
        <color theme="1"/>
        <rFont val="Calibri"/>
        <family val="2"/>
      </rPr>
      <t>289 Alexander Street
Vancouver, B.C. 
V6A 4H6</t>
    </r>
  </si>
  <si>
    <r>
      <t xml:space="preserve">THE ARC
</t>
    </r>
    <r>
      <rPr>
        <sz val="9"/>
        <color rgb="FFFF0000"/>
        <rFont val="Calibri"/>
        <family val="2"/>
      </rPr>
      <t>North Tower - 89 Nelson Street
Vancouver, B.C.
V6Z 0E7
South Tower - 87 Nelson Street
Vancouver, B.C.
V6Z 0E8</t>
    </r>
  </si>
  <si>
    <r>
      <t xml:space="preserve">PRIME ON THE PLAZA
</t>
    </r>
    <r>
      <rPr>
        <sz val="9"/>
        <color theme="1"/>
        <rFont val="Calibri"/>
        <family val="2"/>
        <scheme val="minor"/>
      </rPr>
      <t>13438 Central Avenue
Surrey, B.C.
V3T 0N2</t>
    </r>
    <r>
      <rPr>
        <b/>
        <sz val="9"/>
        <color theme="1"/>
        <rFont val="Calibri"/>
        <family val="2"/>
        <scheme val="minor"/>
      </rPr>
      <t xml:space="preserve">
</t>
    </r>
  </si>
  <si>
    <r>
      <t xml:space="preserve">PARK ESTATES II 
</t>
    </r>
    <r>
      <rPr>
        <sz val="9"/>
        <color rgb="FFFF0000"/>
        <rFont val="Calibri"/>
        <family val="2"/>
      </rPr>
      <t xml:space="preserve">3300 Ketcheson Road
Richmond, B.C.  
V6X 0S5
</t>
    </r>
  </si>
  <si>
    <r>
      <t xml:space="preserve">SOUTH ESTATES 
</t>
    </r>
    <r>
      <rPr>
        <sz val="9"/>
        <color rgb="FFFF0000"/>
        <rFont val="Calibri"/>
        <family val="2"/>
        <scheme val="minor"/>
      </rPr>
      <t xml:space="preserve">3311 Ketcheson Road – V6X 0S4
8800 Hazelbridge Way – V6X 0S3
Richmond, B.C.  
</t>
    </r>
  </si>
  <si>
    <r>
      <t xml:space="preserve">THE CREST
</t>
    </r>
    <r>
      <rPr>
        <sz val="9"/>
        <color theme="1"/>
        <rFont val="Calibri"/>
        <family val="2"/>
      </rPr>
      <t xml:space="preserve">108 East 35th Avenue
Vancouver, B.C.
V5W 1A6
</t>
    </r>
  </si>
  <si>
    <r>
      <t>COBB HILL</t>
    </r>
    <r>
      <rPr>
        <sz val="9"/>
        <color theme="1"/>
        <rFont val="Calibri"/>
        <family val="2"/>
      </rPr>
      <t xml:space="preserve">
1617, 1625, 1635, 1645 McLean Drive
V5L 5E3
1376, 1378 Graveley Street
V5L 3A2
Vancouver, B.C.</t>
    </r>
  </si>
  <si>
    <r>
      <t xml:space="preserve">CRISTALLO
</t>
    </r>
    <r>
      <rPr>
        <sz val="9"/>
        <color theme="1"/>
        <rFont val="Calibri"/>
        <family val="2"/>
        <scheme val="minor"/>
      </rPr>
      <t>828 Gauthier Avenue
Coquitlam, B.C.
V3K 0E9</t>
    </r>
  </si>
  <si>
    <r>
      <t xml:space="preserve">DORCHESTER TOWER
</t>
    </r>
    <r>
      <rPr>
        <sz val="9"/>
        <color theme="1"/>
        <rFont val="Calibri"/>
        <family val="2"/>
        <scheme val="minor"/>
      </rPr>
      <t>1265 Barclay Street
Vancouver B.C.
V6E 1H5</t>
    </r>
  </si>
  <si>
    <r>
      <t xml:space="preserve">QUEEN'S LANDING
</t>
    </r>
    <r>
      <rPr>
        <sz val="9"/>
        <color theme="1"/>
        <rFont val="Calibri"/>
        <family val="2"/>
      </rPr>
      <t>115 West Queens Road
North Vancouver B.C.
V7N 2K4</t>
    </r>
  </si>
  <si>
    <r>
      <t xml:space="preserve">THE RESIDENCES AT WEST
</t>
    </r>
    <r>
      <rPr>
        <sz val="9"/>
        <color theme="1"/>
        <rFont val="Calibri"/>
        <family val="2"/>
      </rPr>
      <t>1783 Manitoba Street
 Vancouver B.C.
V5Y 0K1</t>
    </r>
  </si>
  <si>
    <r>
      <t xml:space="preserve">CREEKSIDE MAPLE HEIGHTS
</t>
    </r>
    <r>
      <rPr>
        <sz val="9"/>
        <color theme="1"/>
        <rFont val="Calibri"/>
        <family val="2"/>
        <scheme val="minor"/>
      </rPr>
      <t>24076 112 Avenue
Maple Ridge, B.C.
V2W 0K2</t>
    </r>
  </si>
  <si>
    <r>
      <t xml:space="preserve">EDGESTONE
</t>
    </r>
    <r>
      <rPr>
        <sz val="9"/>
        <color theme="1"/>
        <rFont val="Calibri"/>
        <family val="2"/>
        <scheme val="minor"/>
      </rPr>
      <t>2116-2143 St. Johns Street
2116-2143 Spring Street
2127-2145 Clarke Street
Port Moody, BC
V3H 0J3</t>
    </r>
  </si>
  <si>
    <r>
      <t xml:space="preserve">TRIOMPHE
</t>
    </r>
    <r>
      <rPr>
        <sz val="9"/>
        <color theme="1"/>
        <rFont val="Calibri"/>
        <family val="2"/>
        <scheme val="minor"/>
      </rPr>
      <t>1888 Gilmore Avenue
Burnaby, BC
V5C 0L2</t>
    </r>
    <r>
      <rPr>
        <b/>
        <sz val="9"/>
        <color theme="1"/>
        <rFont val="Calibri"/>
        <family val="2"/>
        <scheme val="minor"/>
      </rPr>
      <t xml:space="preserve">
</t>
    </r>
  </si>
  <si>
    <r>
      <t xml:space="preserve">THE GEORGIA EAST
</t>
    </r>
    <r>
      <rPr>
        <sz val="9"/>
        <color theme="1"/>
        <rFont val="Calibri"/>
        <family val="2"/>
      </rPr>
      <t>20696 Eastleigh Crescent
Langley, B.C. 
V3A 0M3</t>
    </r>
    <r>
      <rPr>
        <b/>
        <sz val="9"/>
        <color theme="1"/>
        <rFont val="Calibri"/>
        <family val="2"/>
      </rPr>
      <t xml:space="preserve">
</t>
    </r>
  </si>
  <si>
    <r>
      <t xml:space="preserve">CYRUS HILL
</t>
    </r>
    <r>
      <rPr>
        <sz val="9"/>
        <color theme="1"/>
        <rFont val="Calibri"/>
        <family val="2"/>
      </rPr>
      <t>7167 116 Street
Delta, B.C.
V4E 0A6</t>
    </r>
    <r>
      <rPr>
        <b/>
        <sz val="9"/>
        <color theme="1"/>
        <rFont val="Calibri"/>
        <family val="2"/>
      </rPr>
      <t xml:space="preserve">
</t>
    </r>
  </si>
  <si>
    <r>
      <t xml:space="preserve">ELEMENT 1
</t>
    </r>
    <r>
      <rPr>
        <sz val="9"/>
        <color theme="1"/>
        <rFont val="Calibri"/>
        <family val="2"/>
      </rPr>
      <t xml:space="preserve">7131 17th Avenue
Burnaby, BC
V3N 1K8
</t>
    </r>
  </si>
  <si>
    <r>
      <t xml:space="preserve">JUNEAU
</t>
    </r>
    <r>
      <rPr>
        <sz val="9"/>
        <color theme="1"/>
        <rFont val="Calibri"/>
        <family val="2"/>
        <scheme val="minor"/>
      </rPr>
      <t>4465 Juneau Street, 
Burnaby, B.C.
V5C 0L8</t>
    </r>
    <r>
      <rPr>
        <b/>
        <sz val="9"/>
        <color theme="1"/>
        <rFont val="Calibri"/>
        <family val="2"/>
        <scheme val="minor"/>
      </rPr>
      <t xml:space="preserve">
</t>
    </r>
  </si>
  <si>
    <r>
      <t xml:space="preserve">ORCHARD PARK 
</t>
    </r>
    <r>
      <rPr>
        <sz val="9"/>
        <color theme="1"/>
        <rFont val="Calibri"/>
        <family val="2"/>
        <scheme val="minor"/>
      </rPr>
      <t>16685 25 Avenue
Surrey, BC 
 V3Z 0Z4</t>
    </r>
    <r>
      <rPr>
        <b/>
        <sz val="9"/>
        <color theme="1"/>
        <rFont val="Calibri"/>
        <family val="2"/>
        <scheme val="minor"/>
      </rPr>
      <t xml:space="preserve">
</t>
    </r>
  </si>
  <si>
    <r>
      <t xml:space="preserve">THE GEORGIA WEST
</t>
    </r>
    <r>
      <rPr>
        <sz val="9"/>
        <color theme="1"/>
        <rFont val="Calibri"/>
        <family val="2"/>
        <scheme val="minor"/>
      </rPr>
      <t>20686 Eastleigh Crescent 
Langley, B.C.
V3A 0M4</t>
    </r>
    <r>
      <rPr>
        <b/>
        <sz val="9"/>
        <color theme="1"/>
        <rFont val="Calibri"/>
        <family val="2"/>
        <scheme val="minor"/>
      </rPr>
      <t xml:space="preserve">
</t>
    </r>
  </si>
  <si>
    <r>
      <t xml:space="preserve">LINCOLN CENTER
</t>
    </r>
    <r>
      <rPr>
        <sz val="9"/>
        <color theme="1"/>
        <rFont val="Calibri"/>
        <family val="2"/>
        <scheme val="minor"/>
      </rPr>
      <t>3030 Lincoln Avenue
Coquitlam, BC
V3B 6B4</t>
    </r>
  </si>
  <si>
    <r>
      <t xml:space="preserve">HEATHER AND SEVENTEENTH - JOINT
</t>
    </r>
    <r>
      <rPr>
        <sz val="9"/>
        <color theme="1"/>
        <rFont val="Calibri"/>
        <family val="2"/>
        <scheme val="minor"/>
      </rPr>
      <t>717 West 17th Avenue
Vancouver, BC
V5Z 1V1</t>
    </r>
  </si>
  <si>
    <r>
      <t xml:space="preserve">HEATHER AND SEVENTEENTH - RESIDENTIAL SECTION
</t>
    </r>
    <r>
      <rPr>
        <sz val="9"/>
        <color theme="1"/>
        <rFont val="Calibri"/>
        <family val="2"/>
        <scheme val="minor"/>
      </rPr>
      <t>717 West 17th Avenue
Vancouver, BC</t>
    </r>
    <r>
      <rPr>
        <b/>
        <sz val="9"/>
        <color theme="1"/>
        <rFont val="Calibri"/>
        <family val="2"/>
        <scheme val="minor"/>
      </rPr>
      <t xml:space="preserve">
</t>
    </r>
    <r>
      <rPr>
        <sz val="9"/>
        <color theme="1"/>
        <rFont val="Calibri"/>
        <family val="2"/>
        <scheme val="minor"/>
      </rPr>
      <t>V5Z 1V1</t>
    </r>
  </si>
  <si>
    <t>INSURANCE
EXPIRY</t>
  </si>
  <si>
    <t>OWNER'S ONLINE
PASSWORD</t>
  </si>
  <si>
    <t>COUNCIL'S ONLINE
PASSWORD</t>
  </si>
  <si>
    <t>Ladner Place</t>
  </si>
  <si>
    <t>NW1880</t>
  </si>
  <si>
    <t>N/A</t>
  </si>
  <si>
    <t>Unknown</t>
  </si>
  <si>
    <t>Hampton Place</t>
  </si>
  <si>
    <t>NW2226</t>
  </si>
  <si>
    <t>Panorama Court</t>
  </si>
  <si>
    <t>VR1418</t>
  </si>
  <si>
    <t xml:space="preserve">C &amp; C Property Group Ltd.
Suite 304-123 East 15th St.
North Vancouver, BC
V7L 2P7
</t>
  </si>
  <si>
    <t>Hennessy House</t>
  </si>
  <si>
    <t>VR2709</t>
  </si>
  <si>
    <t>Ascent Real Estate Management                   2176 Willingdon Avenue                         Burnaby, B.C.                                                  V5C 5Z9</t>
  </si>
  <si>
    <t>Panorama Gardens</t>
  </si>
  <si>
    <t>VR2752</t>
  </si>
  <si>
    <t>Dorset Realty Group Canada Ltd.</t>
  </si>
  <si>
    <t>Willow Green</t>
  </si>
  <si>
    <t>LMS1470</t>
  </si>
  <si>
    <t>Baywest</t>
  </si>
  <si>
    <t>Sunrise Park</t>
  </si>
  <si>
    <t>NW1541</t>
  </si>
  <si>
    <t>Westhaven</t>
  </si>
  <si>
    <t>LMS2700</t>
  </si>
  <si>
    <t>Baywest Property Management</t>
  </si>
  <si>
    <t>McKenzie Place</t>
  </si>
  <si>
    <t>LMS61</t>
  </si>
  <si>
    <t>Campbell Property Management                  
Suite 306                                                   
2777 Gladwin Road                           
Abbotsford, B.C.                                                   
V2T 4V1</t>
  </si>
  <si>
    <t>Harbour Cove</t>
  </si>
  <si>
    <t>VR129</t>
  </si>
  <si>
    <t>Wynford Realty</t>
  </si>
  <si>
    <t>1234 Pendrell</t>
  </si>
  <si>
    <t>VR0264</t>
  </si>
  <si>
    <t>Permania Management</t>
  </si>
  <si>
    <t>Ridgeway Townhouses</t>
  </si>
  <si>
    <t>LMS3176</t>
  </si>
  <si>
    <t>Homelife Peninsula Property Management</t>
  </si>
  <si>
    <t>Michaud Gardens</t>
  </si>
  <si>
    <t>LMS1043</t>
  </si>
  <si>
    <t>Crosby Property Management                   
600 - 777 Hornby Street                         Vancouver, B.C.                                                  V6Z 1S4</t>
  </si>
  <si>
    <t>Village at Surrey Place</t>
  </si>
  <si>
    <t>NW1757</t>
  </si>
  <si>
    <t>Bradshaw Strata Management                       Unit 200                                                   
5740 176A Street                                 
Surrey, B.C.                                                      V3S 4H2</t>
  </si>
  <si>
    <t>Barclay Manor</t>
  </si>
  <si>
    <t>VR856</t>
  </si>
  <si>
    <t xml:space="preserve">Kristoff's Place                             921 Thurlow Street                          Vancouver, B.C.                          V6E 1W3                          </t>
  </si>
  <si>
    <t>VR2063</t>
  </si>
  <si>
    <t>Strawberry Hills
7250 122nd Street
7330 122nd Street
Surrey, BC V3W 1B4</t>
  </si>
  <si>
    <t>LMS1001</t>
  </si>
  <si>
    <t>Leonis Management and Consultants Ltd.
Attn: James Howells
108 - 5455 152nd Street
Surrey, BC V3S 5A5
T: 604-531-9166
F: 604-531-4811</t>
  </si>
  <si>
    <t>Seadale Place
240 Mahon Avenue
North Vancouver</t>
  </si>
  <si>
    <t>VR838</t>
  </si>
  <si>
    <t>Facilitech</t>
  </si>
  <si>
    <t>The Melrose Gardens</t>
  </si>
  <si>
    <t>LMS2791</t>
  </si>
  <si>
    <t>Davin Management Ltd.</t>
  </si>
  <si>
    <t>Hornby Court</t>
  </si>
  <si>
    <t>VR1681</t>
  </si>
  <si>
    <t>ReMax
110 - 6086 Ross Baker Way
Richmond, BC V7B 1B4
Attn: Michael Flader</t>
  </si>
  <si>
    <t>Georgia Court</t>
  </si>
  <si>
    <t>LMS582</t>
  </si>
  <si>
    <t>?1998?</t>
  </si>
  <si>
    <t>The Columbus</t>
  </si>
  <si>
    <t>LMS3449</t>
  </si>
  <si>
    <t>Wynford Realty Group Ltd.</t>
  </si>
  <si>
    <t>South Wynde Court</t>
  </si>
  <si>
    <t>NW1816</t>
  </si>
  <si>
    <r>
      <rPr>
        <b/>
        <sz val="11"/>
        <rFont val="Calibri"/>
        <family val="2"/>
      </rPr>
      <t>WATER'S EDGE</t>
    </r>
    <r>
      <rPr>
        <sz val="11"/>
        <rFont val="Calibri"/>
        <family val="2"/>
      </rPr>
      <t xml:space="preserve">
5294 204th Street</t>
    </r>
  </si>
  <si>
    <t>NW1817</t>
  </si>
  <si>
    <t>46 Units</t>
  </si>
  <si>
    <t xml:space="preserve">OCEAN PROVINCE
Year 2 of 3
</t>
  </si>
  <si>
    <t>watersedge5041</t>
  </si>
  <si>
    <t>Westpoint Villa</t>
  </si>
  <si>
    <t>VR1387</t>
  </si>
  <si>
    <t>Bennett Court</t>
  </si>
  <si>
    <t>NW2435</t>
  </si>
  <si>
    <t>Joyce Place                                                3380 Vanness Avenue                    Vancouver, B.C.                            V5R 6B8</t>
  </si>
  <si>
    <t>LMS992</t>
  </si>
  <si>
    <r>
      <t xml:space="preserve">SELF-MANAGE - SEE BELOW:             </t>
    </r>
    <r>
      <rPr>
        <b/>
        <sz val="11"/>
        <rFont val="Calibri"/>
        <family val="2"/>
      </rPr>
      <t xml:space="preserve"> </t>
    </r>
    <r>
      <rPr>
        <sz val="11"/>
        <rFont val="Calibri"/>
        <family val="2"/>
      </rPr>
      <t>Owners can contact Strata Council LMS 992 in writing,   dropping it in the mailbox “Strata Corporation LMS 992” in the Tower Lobby, or  e-mail lms992@gmail.com, or   postal mail to:  Strata Council LMS 992, Joyce Place, 3380 Vanness Avenue, Vancouver, BC V5R 6B8.</t>
    </r>
  </si>
  <si>
    <t>Carlton Court</t>
  </si>
  <si>
    <t>LMS1275</t>
  </si>
  <si>
    <t>Cedarcrest Rental</t>
  </si>
  <si>
    <t>The Penninsula</t>
  </si>
  <si>
    <t>Agnes Court</t>
  </si>
  <si>
    <t>NW1104</t>
  </si>
  <si>
    <t>ACD Realty Corp.                                              Suite #200                                                                    510 Seventh Avenue                                     New Westminster, B.C.                                   V3L 5G8</t>
  </si>
  <si>
    <t>1988 Maple Street</t>
  </si>
  <si>
    <t>VR2253</t>
  </si>
  <si>
    <t>1515 Chesterfield
North Vancouver, BC V7M 2N5</t>
  </si>
  <si>
    <t>VR119</t>
  </si>
  <si>
    <t>Goldstream Properties
24 - 1501 Lonsdale Avenue
North Vancouver, BC V7M 2J2
Attn: Norman Stewart</t>
  </si>
  <si>
    <t>Edencrest</t>
  </si>
  <si>
    <t>LMS3719</t>
  </si>
  <si>
    <t>Silkwood Estates</t>
  </si>
  <si>
    <t>NW0965</t>
  </si>
  <si>
    <t>Mont Charles
1777 West 13th
Vancouver</t>
  </si>
  <si>
    <t xml:space="preserve">VR45 </t>
  </si>
  <si>
    <t>Gildfor Court</t>
  </si>
  <si>
    <t>VR1395</t>
  </si>
  <si>
    <r>
      <rPr>
        <b/>
        <sz val="11"/>
        <rFont val="Calibri"/>
        <family val="2"/>
      </rPr>
      <t>OAKMONT PLACE</t>
    </r>
    <r>
      <rPr>
        <sz val="11"/>
        <rFont val="Calibri"/>
        <family val="2"/>
      </rPr>
      <t xml:space="preserve">
975 West 13th Avenue
Vancouver, BC
V5Z 1P4
*** NLM as of September 28, 2010 ***</t>
    </r>
  </si>
  <si>
    <t>VR1359</t>
  </si>
  <si>
    <t>ME</t>
  </si>
  <si>
    <t>CMW</t>
  </si>
  <si>
    <t>67oakmont</t>
  </si>
  <si>
    <t>Charles Gardens</t>
  </si>
  <si>
    <t>LMS198</t>
  </si>
  <si>
    <t>Viewport Apartments</t>
  </si>
  <si>
    <t>VR278</t>
  </si>
  <si>
    <t>Guildford Greene</t>
  </si>
  <si>
    <t>NW2254</t>
  </si>
  <si>
    <t>Guildford Close</t>
  </si>
  <si>
    <t>NW2003</t>
  </si>
  <si>
    <t>Bentley Place                                        1265 West 11th Avenue
Vancouver, B.C.                          V6H 1K6</t>
  </si>
  <si>
    <t>VR1822</t>
  </si>
  <si>
    <t>Bradshaw Strata Management                       Unit 200                                                   5740 176A Street                                 
Surrey, B.C.                                                      V3S 4H2</t>
  </si>
  <si>
    <t>Beverly Court</t>
  </si>
  <si>
    <t>VR1962</t>
  </si>
  <si>
    <t>The New Yorker</t>
  </si>
  <si>
    <t>LMS1490</t>
  </si>
  <si>
    <r>
      <rPr>
        <b/>
        <sz val="11"/>
        <rFont val="Calibri"/>
        <family val="2"/>
      </rPr>
      <t>TWIN CEDARS</t>
    </r>
    <r>
      <rPr>
        <sz val="11"/>
        <rFont val="Calibri"/>
        <family val="2"/>
      </rPr>
      <t xml:space="preserve">
2719 St. Michael Street
Port Coquitlam, BC
V3B 5R4</t>
    </r>
  </si>
  <si>
    <t>NW1184</t>
  </si>
  <si>
    <t>Bareland Strata</t>
  </si>
  <si>
    <t>Bennett Place</t>
  </si>
  <si>
    <t>NW2440</t>
  </si>
  <si>
    <t>Louwin Management Ltd.
106-7011 Elmbridge Way
Richmond, BC
V7C 4V5
604-207-9336
fax: 604-207-9386</t>
  </si>
  <si>
    <t>9 Gables</t>
  </si>
  <si>
    <t>VS2838</t>
  </si>
  <si>
    <t>Willowgate                                 6390 - 196th Street &amp;                    19610 - 64th Avenue                            Langley, B.C.</t>
  </si>
  <si>
    <t>LMS2489</t>
  </si>
  <si>
    <t>North Road Centre</t>
  </si>
  <si>
    <t>NW1901</t>
  </si>
  <si>
    <t>Wellington Court</t>
  </si>
  <si>
    <t>LMS179</t>
  </si>
  <si>
    <t>The Gateway</t>
  </si>
  <si>
    <t>NW3366</t>
  </si>
  <si>
    <t>Chelsea House</t>
  </si>
  <si>
    <t>NWS3419</t>
  </si>
  <si>
    <t>Quaywest Resource Residences</t>
  </si>
  <si>
    <t>Crosby Property Management                   
600 - 777 Hornby Street                         
Vancouver, B.C.                                                  
V6Z 1S4</t>
  </si>
  <si>
    <t>Dakota</t>
  </si>
  <si>
    <r>
      <rPr>
        <b/>
        <sz val="11"/>
        <rFont val="Calibri"/>
        <family val="2"/>
      </rPr>
      <t>THE DAKOTA</t>
    </r>
    <r>
      <rPr>
        <sz val="11"/>
        <rFont val="Calibri"/>
        <family val="2"/>
      </rPr>
      <t xml:space="preserve">
1111 Lynn Valley Road
North Vancouver, BC
V7J 3V4</t>
    </r>
  </si>
  <si>
    <t>LMS4136</t>
  </si>
  <si>
    <t>THE CO-OPERATORS</t>
  </si>
  <si>
    <t>NORMAC</t>
  </si>
  <si>
    <t>1111dakota</t>
  </si>
  <si>
    <t>NLM
November 1, 2013
Martello Property Services</t>
  </si>
  <si>
    <r>
      <rPr>
        <b/>
        <sz val="11"/>
        <rFont val="Calibri"/>
        <family val="2"/>
      </rPr>
      <t>PARKVIEW TERRACE</t>
    </r>
    <r>
      <rPr>
        <sz val="11"/>
        <rFont val="Calibri"/>
        <family val="2"/>
      </rPr>
      <t xml:space="preserve">
889 West 7th Avenue V5Z 1C2
2288 Laurel Street V5Z 4K9
Vancouver, BC</t>
    </r>
  </si>
  <si>
    <t>VR2327</t>
  </si>
  <si>
    <t>AH</t>
  </si>
  <si>
    <t>Lorne
604-872-5936
(Ok to give out)</t>
  </si>
  <si>
    <t>RiverRock Residences
995 Lynn Valley Road (Phase 1)
1005 Lynn Valley Road (Phase 2)
1015 Lynn Valley Road (Phase 3)
1027 Lynn Valley Road (Phase 4)
10 Townhouses (Phase 5)
North Vancouver, BC V7J 1Z6</t>
  </si>
  <si>
    <t>LMS4417</t>
  </si>
  <si>
    <t>Tobruck Gardens
888 West 16th Avenue
889 Tobruck Avenue
North Vancouver, BC</t>
  </si>
  <si>
    <t>VR2537</t>
  </si>
  <si>
    <t>July 16th, 2008</t>
  </si>
  <si>
    <t>Attn: Keith Loughlin
Strataco Management Ltd.                             4126 Norland Avenue                              Burnaby, B.C.                                                    V5G 3S8</t>
  </si>
  <si>
    <t>The Charleston                            1669 Grant Avenue                       Port Coquitlam, B.C.                             V3B 7W9</t>
  </si>
  <si>
    <t>LMS2393</t>
  </si>
  <si>
    <t>Strataco Management Ltd.                             4126 Norland Avenue                              Burnaby, B.C.                                                    V5G 3S8</t>
  </si>
  <si>
    <t>Capilano Ridge</t>
  </si>
  <si>
    <t>BCS130</t>
  </si>
  <si>
    <t>Martello Property Management</t>
  </si>
  <si>
    <t>Greenshields</t>
  </si>
  <si>
    <t>BCS849</t>
  </si>
  <si>
    <t xml:space="preserve">c/o KYLE PROPERTIES LTD.
#202 – 1537 West 8th Ave.
Vancouver, BC
V6J 1T5
T: 604.732.5263
F: 604.732.8858
</t>
  </si>
  <si>
    <t>Ridgeview Court                                 423 Agnes Street                        New Westminster, B.C.                     V3L 1G2</t>
  </si>
  <si>
    <t>NW2116</t>
  </si>
  <si>
    <t>Park Place Property Services Ltd.              
Suite 240                                                        
11590 Cambie Road                                        Richmond, B.C.                                           
V6X 3Z5                                                    
604-271-7788</t>
  </si>
  <si>
    <t>Novo                                                              9288 University Crescent                   Burnaby, B.C.                                         V5A 4X7</t>
  </si>
  <si>
    <t>BCS1046</t>
  </si>
  <si>
    <t>Vancouver Condominium Services Ltd.                           Suite 400                                                       
1281 West Georgia Street                     
Vancouver, B.C.                                          
V6E 3J7</t>
  </si>
  <si>
    <t>Pender Lane</t>
  </si>
  <si>
    <t>BCS1184</t>
  </si>
  <si>
    <t xml:space="preserve">The Brixton                                         33255 Old Yale Road
Abbotsford, B.C.
V2S 7Y2
</t>
  </si>
  <si>
    <t>BCS1591</t>
  </si>
  <si>
    <t>Emerald Springs</t>
  </si>
  <si>
    <t>LMS956</t>
  </si>
  <si>
    <t xml:space="preserve">ECM Strata Management
3 - 2236 West Railway Street
Abbotsford, BC V2S 2E2
Attn: Elwood </t>
  </si>
  <si>
    <t>NLM
June 1, 2011
Crosby</t>
  </si>
  <si>
    <r>
      <rPr>
        <b/>
        <sz val="11"/>
        <rFont val="Calibri"/>
        <family val="2"/>
      </rPr>
      <t>AQUA AT THE PARK</t>
    </r>
    <r>
      <rPr>
        <sz val="11"/>
        <rFont val="Calibri"/>
        <family val="2"/>
      </rPr>
      <t xml:space="preserve">
1418 Seymour Mews N. V6Z 3G3
1428 Seymour Mews N. V6Z 3G3
1438 Seymour Mews N. V6Z 3G3
550 Pacific St.
Vancouver, BC     
 V6Z 3G2
</t>
    </r>
  </si>
  <si>
    <t>BCS1570</t>
  </si>
  <si>
    <r>
      <t>Bldg. Mgr: Carlos Perdomo
Cell: 604-813-6463</t>
    </r>
    <r>
      <rPr>
        <sz val="11"/>
        <color indexed="30"/>
        <rFont val="Calibri"/>
        <family val="2"/>
      </rPr>
      <t xml:space="preserve"> (do not give out)</t>
    </r>
    <r>
      <rPr>
        <sz val="11"/>
        <rFont val="Calibri"/>
        <family val="2"/>
      </rPr>
      <t xml:space="preserve">
Concierge: 604-681-0878
Fax: 604-685-1109</t>
    </r>
  </si>
  <si>
    <t xml:space="preserve">5139aqua </t>
  </si>
  <si>
    <t>council5139</t>
  </si>
  <si>
    <t>Kings Landing</t>
  </si>
  <si>
    <t>BCS1589</t>
  </si>
  <si>
    <t>Feb/?/2008</t>
  </si>
  <si>
    <t>Stratawest Management Ltd.
202 - 224 West Esplanade
North Vancouver, BC V7M 1A4</t>
  </si>
  <si>
    <t>Cedarcrest</t>
  </si>
  <si>
    <t>VR1498</t>
  </si>
  <si>
    <t>C&amp;C Property Group
304-123 East 15th Street
North Vancouver, BC
V7L 2P7
604-987-9040
email: jeff@cccm.bc.ca</t>
  </si>
  <si>
    <t>Lighthouse at Rocky Point                        84 Grant Street                                          Port Coquitlam, B.C.                    V3H 0B5</t>
  </si>
  <si>
    <t>BCS2041</t>
  </si>
  <si>
    <t>Century 21 Prudential Estates (Rmd) Ltd.               7320 Westminster Highway                    
Richmond, B.C.                                              
V6X 1A1</t>
  </si>
  <si>
    <t>Lighthouse Commercial</t>
  </si>
  <si>
    <t>The Sonnet</t>
  </si>
  <si>
    <t>BCS2075</t>
  </si>
  <si>
    <t>NAI Goddard &amp; Smith
Commercial Real Estate Services
Property Management Division
100 - 20436 Fraser Highway
Langley, BC V3A 4G2</t>
  </si>
  <si>
    <t>NLM
August 15, 2011
Baywest</t>
  </si>
  <si>
    <r>
      <rPr>
        <b/>
        <sz val="11"/>
        <rFont val="Calibri"/>
        <family val="2"/>
      </rPr>
      <t>THE STERLING</t>
    </r>
    <r>
      <rPr>
        <sz val="11"/>
        <rFont val="Calibri"/>
        <family val="2"/>
      </rPr>
      <t xml:space="preserve">
33338 Mayfair Avenue
2068 Sandalwood Crescent
Abbotsford, BC
V2S 0A4</t>
    </r>
  </si>
  <si>
    <t>BCS2224</t>
  </si>
  <si>
    <t>94 Units</t>
  </si>
  <si>
    <t>5159sterling</t>
  </si>
  <si>
    <t>The Finale
3551 Foster Avenue
3651 Foster Avenue
Vancouver, BC</t>
  </si>
  <si>
    <t>BCS2281</t>
  </si>
  <si>
    <t>July 28th, 2008</t>
  </si>
  <si>
    <t>Ascent Real Estate Management                   
2176 Willingdon Avenue                         
Burnaby, B.C.                                                  
V5C 5Z9</t>
  </si>
  <si>
    <r>
      <rPr>
        <b/>
        <sz val="11"/>
        <rFont val="Calibri"/>
        <family val="2"/>
      </rPr>
      <t>NATURE'S GATE</t>
    </r>
    <r>
      <rPr>
        <sz val="11"/>
        <rFont val="Calibri"/>
        <family val="2"/>
      </rPr>
      <t xml:space="preserve">
 Phase 1
 33318 Bourquin Crescent East 71 Units 
 Abbotsford, BC V2S 0A6
 Phase 2
 33328 Bourquin Crescent East 36 Units
 Abbotsford, BC V2S 0A6
 Phase 3   
 33338 Bourquin Crescent East 36 Units 
 Abbotsford, BC 
</t>
    </r>
    <r>
      <rPr>
        <sz val="11"/>
        <color indexed="10"/>
        <rFont val="Calibri"/>
        <family val="2"/>
      </rPr>
      <t>*************************************
Management Ends May 1st, 2011
CAMPBELL STRATA MANAGEMENT
306-2777 Gladwin Road
Abbotsford BC V2T 4V1</t>
    </r>
    <r>
      <rPr>
        <sz val="11"/>
        <rFont val="Calibri"/>
        <family val="2"/>
      </rPr>
      <t xml:space="preserve">
</t>
    </r>
  </si>
  <si>
    <t>BCS2236</t>
  </si>
  <si>
    <t>143 Units</t>
  </si>
  <si>
    <t>5165naturesgate</t>
  </si>
  <si>
    <t>NLM
August 31, 2012</t>
  </si>
  <si>
    <r>
      <rPr>
        <b/>
        <sz val="11"/>
        <rFont val="Calibri"/>
        <family val="2"/>
      </rPr>
      <t>SOUTHMERE PLACE</t>
    </r>
    <r>
      <rPr>
        <sz val="11"/>
        <rFont val="Calibri"/>
        <family val="2"/>
      </rPr>
      <t xml:space="preserve">
1850 Southmere Crescent East
Surrey, BC
V4A 6Y6</t>
    </r>
  </si>
  <si>
    <t>NW1769</t>
  </si>
  <si>
    <t>77 Units</t>
  </si>
  <si>
    <t>Res. Mgr: Scott Blakeney
Phone: 604-764-8964</t>
  </si>
  <si>
    <t>CO-OPERATORS</t>
  </si>
  <si>
    <t>Appraisal thorugh 
the common strata</t>
  </si>
  <si>
    <t>5166splace</t>
  </si>
  <si>
    <t>NLM
November 1, 2013
Ascent</t>
  </si>
  <si>
    <r>
      <rPr>
        <b/>
        <sz val="11"/>
        <rFont val="Calibri"/>
        <family val="2"/>
      </rPr>
      <t>CORA</t>
    </r>
    <r>
      <rPr>
        <sz val="11"/>
        <rFont val="Calibri"/>
        <family val="2"/>
      </rPr>
      <t xml:space="preserve">
555 Delestre Avenue (West Tower) V3K 0A9
575 Delestre Avenue (East Tower) V3K 0A6
Coquitlam, BC</t>
    </r>
  </si>
  <si>
    <t>BCS2762</t>
  </si>
  <si>
    <t>257 Units</t>
  </si>
  <si>
    <t>Bldg. Super: Stedman Espinosa
Cell: 778-899-7950 (do not give out)
Office: 778-355-0515
Email: coratowers@ranchogroup.com</t>
  </si>
  <si>
    <t>Orleans Ridge</t>
  </si>
  <si>
    <t>BCS2489</t>
  </si>
  <si>
    <t>Escala
323 Jervis Street</t>
  </si>
  <si>
    <t>LMS4650</t>
  </si>
  <si>
    <t>Bldg. Super: Dave Lam
604: 818-9092
Concierge: 604-684-9203
Concierge's Fax: 604-684-9230</t>
  </si>
  <si>
    <t>AON REED STENHOUSE</t>
  </si>
  <si>
    <t>January 30, 2010
COR - January 30, 2009</t>
  </si>
  <si>
    <t>APT - $200.00
TH - $100.00
Internal - $100.00</t>
  </si>
  <si>
    <t>2009escala</t>
  </si>
  <si>
    <t>111 Units</t>
  </si>
  <si>
    <t>NLM
January 31, 2012
Dodwell</t>
  </si>
  <si>
    <r>
      <rPr>
        <b/>
        <sz val="11"/>
        <color indexed="60"/>
        <rFont val="Calibri"/>
        <family val="2"/>
      </rPr>
      <t>COOPERS POINTE</t>
    </r>
    <r>
      <rPr>
        <sz val="11"/>
        <color indexed="60"/>
        <rFont val="Calibri"/>
        <family val="2"/>
      </rPr>
      <t xml:space="preserve">
980 Cooperage Way
Vancouver, BC
V6B 0C3</t>
    </r>
  </si>
  <si>
    <t>BCS2646</t>
  </si>
  <si>
    <t>Bldg Super: Lucas (don't give out)
604-723-0783
Phone: 604-802-7150
Concierge: 604-684-9203
cooperspointeconcierge@ranchogroup.com</t>
  </si>
  <si>
    <t>$250.00
1 free move per transfer of ownership</t>
  </si>
  <si>
    <t>cp5174</t>
  </si>
  <si>
    <r>
      <rPr>
        <b/>
        <sz val="11"/>
        <rFont val="Calibri"/>
        <family val="2"/>
      </rPr>
      <t>THE WADDINGTON</t>
    </r>
    <r>
      <rPr>
        <sz val="11"/>
        <rFont val="Calibri"/>
        <family val="2"/>
      </rPr>
      <t xml:space="preserve">
32063 Mt. Waddington
Abbotsford, BC
V2T 2E7
</t>
    </r>
    <r>
      <rPr>
        <sz val="11"/>
        <color indexed="10"/>
        <rFont val="Calibri"/>
        <family val="2"/>
      </rPr>
      <t xml:space="preserve">
*** no longer Manage - September 1, 2010 ***
</t>
    </r>
    <r>
      <rPr>
        <sz val="11"/>
        <rFont val="Calibri"/>
        <family val="2"/>
      </rPr>
      <t xml:space="preserve">
</t>
    </r>
  </si>
  <si>
    <t>BCS1946</t>
  </si>
  <si>
    <t>5175waddington</t>
  </si>
  <si>
    <t xml:space="preserve">Company Name: G C Management (1991) Limited 
Tel: 604-850-5151 
Address: 34787 Chantrell Pl, Abbotsford, BC V2S7H8 
Abbotsford, BC , Canada 
ZIP: V2S7H8 
</t>
  </si>
  <si>
    <t>NLM 
December 12, 2011</t>
  </si>
  <si>
    <r>
      <rPr>
        <b/>
        <sz val="11"/>
        <rFont val="Calibri"/>
        <family val="2"/>
      </rPr>
      <t>ALEXANDER WALK</t>
    </r>
    <r>
      <rPr>
        <sz val="11"/>
        <rFont val="Calibri"/>
        <family val="2"/>
      </rPr>
      <t xml:space="preserve">
1201-1211 Ewen Avenue
New Westminster, BC
V3M 5E5
****************************
NLM
December 12, 2011
Peak Property Management
</t>
    </r>
  </si>
  <si>
    <t>BCS2740</t>
  </si>
  <si>
    <t>AW</t>
  </si>
  <si>
    <t>TS McKenzie</t>
  </si>
  <si>
    <t>2740ewen</t>
  </si>
  <si>
    <r>
      <rPr>
        <b/>
        <sz val="11"/>
        <rFont val="Calibri"/>
        <family val="2"/>
      </rPr>
      <t>CLOVERDALE INDUSTRIAL PARK</t>
    </r>
    <r>
      <rPr>
        <sz val="11"/>
        <rFont val="Calibri"/>
        <family val="2"/>
      </rPr>
      <t xml:space="preserve">
18515 53 Avenue  Building A (3)- 31 Units
  18525 53 Avenue  Building B (1) - 12 Units
  18535 53 Avenue  Building C (2) - 16 Units
*** NO LONGER MANAGE AS OF 
OCTOBER 21st, 2009 ***   
</t>
    </r>
  </si>
  <si>
    <t>BCS2492</t>
  </si>
  <si>
    <t>cloverdale5179</t>
  </si>
  <si>
    <t>NLM
Remax
May 1, 2012</t>
  </si>
  <si>
    <r>
      <rPr>
        <b/>
        <sz val="11"/>
        <rFont val="Calibri"/>
        <family val="2"/>
      </rPr>
      <t>MELVILLE</t>
    </r>
    <r>
      <rPr>
        <sz val="11"/>
        <rFont val="Calibri"/>
        <family val="2"/>
      </rPr>
      <t xml:space="preserve">
1189 Melville Street
Vancouver, BC
V6E 4T8
</t>
    </r>
    <r>
      <rPr>
        <sz val="11"/>
        <color indexed="10"/>
        <rFont val="Calibri"/>
        <family val="2"/>
      </rPr>
      <t>*** Terminate as of May 1, 2012 ***</t>
    </r>
  </si>
  <si>
    <t>236 Units</t>
  </si>
  <si>
    <t>Bldg. Super: Allan Wong
Phone: 604-813-9972
Email: awong@allbrightservices.ca
Concierge: 778-868-5169
melville@imperialsecurity.ca</t>
  </si>
  <si>
    <t>$250.00
$100.00 furnished suites
$75.00- internal moves</t>
  </si>
  <si>
    <t>melville1189</t>
  </si>
  <si>
    <t>ink</t>
  </si>
  <si>
    <t>Varsity</t>
  </si>
  <si>
    <t>BCS2958</t>
  </si>
  <si>
    <t>Apr/May 09</t>
  </si>
  <si>
    <t>AWM-Alliance Real Estate Group Ltd.
Attn: Paul Kral
540 - 220 Cambie Street
Vancouver, BC V6B 2M9
T: 604-639-2189
F: 604-893-1721
paul@awmalliance.com</t>
  </si>
  <si>
    <r>
      <rPr>
        <b/>
        <sz val="11"/>
        <rFont val="Calibri"/>
        <family val="2"/>
      </rPr>
      <t>ARBOUR VILLAGE</t>
    </r>
    <r>
      <rPr>
        <sz val="11"/>
        <rFont val="Calibri"/>
        <family val="2"/>
      </rPr>
      <t xml:space="preserve">
6036 164th Street
Surrey, BC</t>
    </r>
  </si>
  <si>
    <t>BCS2916</t>
  </si>
  <si>
    <t>52 Units</t>
  </si>
  <si>
    <t>arbour2916</t>
  </si>
  <si>
    <t>Terminated on may 31, 2013
Went to Strata West</t>
  </si>
  <si>
    <r>
      <rPr>
        <b/>
        <sz val="11"/>
        <rFont val="Calibri"/>
        <family val="2"/>
      </rPr>
      <t>SOPHIA</t>
    </r>
    <r>
      <rPr>
        <sz val="11"/>
        <rFont val="Calibri"/>
        <family val="2"/>
      </rPr>
      <t xml:space="preserve">
298 East 11th Avenue
Vancouver, BC
V5T 0A2</t>
    </r>
  </si>
  <si>
    <t>BCS3166</t>
  </si>
  <si>
    <t>81 units</t>
  </si>
  <si>
    <t>Yumay Ortiz
yumay@fivestarbc.ca
(Please do not send memos to Yumay)</t>
  </si>
  <si>
    <t>$250.00
$100.00 - no elevator/
stairs
$75.00 - internal
$200 deposit</t>
  </si>
  <si>
    <t>Zora
19830 56 Avenue
Langley, B.C.
V3A 0A5</t>
  </si>
  <si>
    <t>BCS3128</t>
  </si>
  <si>
    <r>
      <t xml:space="preserve">MIRAMAR A
</t>
    </r>
    <r>
      <rPr>
        <sz val="11"/>
        <rFont val="Calibri"/>
        <family val="2"/>
      </rPr>
      <t>15152 Russell Avenue
White Rock, BC
V4B 0A3</t>
    </r>
    <r>
      <rPr>
        <b/>
        <sz val="11"/>
        <rFont val="Calibri"/>
        <family val="2"/>
      </rPr>
      <t xml:space="preserve">
</t>
    </r>
    <r>
      <rPr>
        <sz val="11"/>
        <color indexed="10"/>
        <rFont val="Calibri"/>
        <family val="2"/>
      </rPr>
      <t>**no longer manage as at May 26, 2010**</t>
    </r>
    <r>
      <rPr>
        <b/>
        <sz val="11"/>
        <rFont val="Calibri"/>
        <family val="2"/>
      </rPr>
      <t xml:space="preserve">
</t>
    </r>
  </si>
  <si>
    <t>BCS3236</t>
  </si>
  <si>
    <t>Vladimir Bureacenco
604-220-1170</t>
  </si>
  <si>
    <t>$250.00
$75.00 - internal</t>
  </si>
  <si>
    <t>miramarone5190</t>
  </si>
  <si>
    <t>NLM
August 1, 2011
Strataco</t>
  </si>
  <si>
    <r>
      <rPr>
        <b/>
        <sz val="11"/>
        <rFont val="Calibri"/>
        <family val="2"/>
      </rPr>
      <t>NUVO LIVING</t>
    </r>
    <r>
      <rPr>
        <sz val="11"/>
        <rFont val="Calibri"/>
        <family val="2"/>
      </rPr>
      <t xml:space="preserve">
15454 32nd Avenue 
Surrey, B.C.
V3S 2J8
</t>
    </r>
  </si>
  <si>
    <t>BCS3152</t>
  </si>
  <si>
    <t>nuvo5191</t>
  </si>
  <si>
    <r>
      <t xml:space="preserve">QUATTRO 
</t>
    </r>
    <r>
      <rPr>
        <sz val="11"/>
        <rFont val="Calibri"/>
        <family val="2"/>
      </rPr>
      <t>13733 107A Avenue
Surrey, B.C.
V3T 0B7
*** NO LONGER MANAGED AS OF
January 1, 2010</t>
    </r>
    <r>
      <rPr>
        <b/>
        <sz val="11"/>
        <rFont val="Calibri"/>
        <family val="2"/>
      </rPr>
      <t xml:space="preserve">
</t>
    </r>
  </si>
  <si>
    <t>BCS3381</t>
  </si>
  <si>
    <t>Building Manager: Ricardo Alvarado
Office: 778-395-3380
cell: 604-834-5961
ralvarado@ranchogroup.com</t>
  </si>
  <si>
    <t>quattro5192</t>
  </si>
  <si>
    <t>Bayside Property Services Ltd.
#100-6400 Roberts Street
Burnaby, BC V5G 4C9</t>
  </si>
  <si>
    <r>
      <t xml:space="preserve">TERMINUS
</t>
    </r>
    <r>
      <rPr>
        <sz val="11"/>
        <rFont val="Calibri"/>
        <family val="2"/>
      </rPr>
      <t>36 Water Street
Vancouver, BC
V6B 0B7
NLM NOVEMBER 1, 2010</t>
    </r>
  </si>
  <si>
    <t>BCS3229</t>
  </si>
  <si>
    <t>PF</t>
  </si>
  <si>
    <t>5193terminus</t>
  </si>
  <si>
    <r>
      <t xml:space="preserve">MADISON VILLAS
</t>
    </r>
    <r>
      <rPr>
        <sz val="11"/>
        <rFont val="Calibri"/>
        <family val="2"/>
      </rPr>
      <t xml:space="preserve">5516 198 Street 
Langley, B.C.
</t>
    </r>
    <r>
      <rPr>
        <sz val="11"/>
        <color indexed="10"/>
        <rFont val="Calibri"/>
        <family val="2"/>
      </rPr>
      <t>*** no longer Manage - July 25, 2010 ***
REMI REALTY</t>
    </r>
  </si>
  <si>
    <t>BCS3201</t>
  </si>
  <si>
    <t>madison5195</t>
  </si>
  <si>
    <r>
      <t xml:space="preserve">MIRAMAR B
</t>
    </r>
    <r>
      <rPr>
        <sz val="11"/>
        <rFont val="Calibri"/>
        <family val="2"/>
      </rPr>
      <t xml:space="preserve">1473 Johnston Road, 
White Rock, BC
V4B 0A2
</t>
    </r>
    <r>
      <rPr>
        <sz val="11"/>
        <color indexed="10"/>
        <rFont val="Calibri"/>
        <family val="2"/>
      </rPr>
      <t xml:space="preserve">
*** no longer manage as of March 23rd, 2010 ***</t>
    </r>
  </si>
  <si>
    <t>BCS3237</t>
  </si>
  <si>
    <t xml:space="preserve">NORMAC
2 of 3 </t>
  </si>
  <si>
    <t>miramartwo5197</t>
  </si>
  <si>
    <r>
      <t xml:space="preserve">AMADEO (RESIDENTIAL)
</t>
    </r>
    <r>
      <rPr>
        <sz val="11"/>
        <rFont val="Calibri"/>
        <family val="2"/>
      </rPr>
      <t xml:space="preserve">306 Sixth Street
New Westminster, B.C. 
V3L 0C9
</t>
    </r>
    <r>
      <rPr>
        <sz val="11"/>
        <color indexed="10"/>
        <rFont val="Calibri"/>
        <family val="2"/>
      </rPr>
      <t xml:space="preserve">
*** no longer manage as of June 1st, 2010 ***</t>
    </r>
  </si>
  <si>
    <t>BCS3456</t>
  </si>
  <si>
    <t>JW</t>
  </si>
  <si>
    <t xml:space="preserve">Amado Pitassi
604 970 2479 </t>
  </si>
  <si>
    <t>41 Residential Units</t>
  </si>
  <si>
    <t>NLM
November 1, 2011
ASCENT</t>
  </si>
  <si>
    <r>
      <t xml:space="preserve">GRAND CENTRAL
</t>
    </r>
    <r>
      <rPr>
        <sz val="11"/>
        <rFont val="Calibri"/>
        <family val="2"/>
      </rPr>
      <t>2976 - 2978 Glen Drive - PHASE 1
1158 - 1168 The High Street - PHASE 1
Coquitlam, BC</t>
    </r>
  </si>
  <si>
    <t>BCS3495</t>
  </si>
  <si>
    <t xml:space="preserve">Phase 1 - 181 Units
</t>
  </si>
  <si>
    <t>GR/AW</t>
  </si>
  <si>
    <t>Ronny Carias
604-839-3511
rpavon@ranchogroup.com</t>
  </si>
  <si>
    <t>$100 
(move-in fee does not apply to initial Owner)</t>
  </si>
  <si>
    <t>5211glen</t>
  </si>
  <si>
    <t>council5211</t>
  </si>
  <si>
    <t xml:space="preserve">NLM
May 1, 2011
VCS </t>
  </si>
  <si>
    <r>
      <t xml:space="preserve">SMART
</t>
    </r>
    <r>
      <rPr>
        <sz val="11"/>
        <rFont val="Calibri"/>
        <family val="2"/>
      </rPr>
      <t>168 Powell Street
Vancouver, BC
V6A 0B2</t>
    </r>
  </si>
  <si>
    <t>BCS3636</t>
  </si>
  <si>
    <t>smart5214</t>
  </si>
  <si>
    <t>ALTO COMMERCIAL</t>
  </si>
  <si>
    <r>
      <t xml:space="preserve">QUATTRO - PHASE 2
</t>
    </r>
    <r>
      <rPr>
        <sz val="11"/>
        <rFont val="Calibri"/>
        <family val="2"/>
      </rPr>
      <t>13789 - 107A Avenue
Surrey, B.C.
V3T 0B8
*** NLM as of September 30, 2010 ***</t>
    </r>
  </si>
  <si>
    <t>BCS3689</t>
  </si>
  <si>
    <t>Jorge Devicente
778-395-0307
Email:  quattrotwo@ranchogroup.com</t>
  </si>
  <si>
    <t>quattro5225</t>
  </si>
  <si>
    <t>01/07/2010
VCS</t>
  </si>
  <si>
    <r>
      <t xml:space="preserve">MOTIF AT CITI
</t>
    </r>
    <r>
      <rPr>
        <sz val="11"/>
        <rFont val="Calibri"/>
        <family val="2"/>
      </rPr>
      <t xml:space="preserve">4400 Buchanan Street
Burnaby, B.C.
V5C 0E3
</t>
    </r>
    <r>
      <rPr>
        <sz val="11"/>
        <color indexed="10"/>
        <rFont val="Calibri"/>
        <family val="2"/>
      </rPr>
      <t>*************************
NLM
NOVEMBER 22, 2011
Vancouver Condominium Services</t>
    </r>
  </si>
  <si>
    <t>BCS3805</t>
  </si>
  <si>
    <t>153 Residential Units</t>
  </si>
  <si>
    <t>Surendra Chand
Tel: 604-813-3417
Email: schand@allbrightservices.ca</t>
  </si>
  <si>
    <t xml:space="preserve">Username: BCS3805
Password: motif5231
</t>
  </si>
  <si>
    <r>
      <t xml:space="preserve">MADISON CROSSING
</t>
    </r>
    <r>
      <rPr>
        <sz val="11"/>
        <rFont val="Calibri"/>
        <family val="2"/>
      </rPr>
      <t xml:space="preserve">19939 55A Ave
Langley, BC
</t>
    </r>
    <r>
      <rPr>
        <sz val="11"/>
        <color indexed="10"/>
        <rFont val="Calibri"/>
        <family val="2"/>
      </rPr>
      <t>*** NLM - February 22, 2011 ***</t>
    </r>
    <r>
      <rPr>
        <b/>
        <sz val="11"/>
        <rFont val="Calibri"/>
        <family val="2"/>
      </rPr>
      <t xml:space="preserve">
</t>
    </r>
  </si>
  <si>
    <t>BCS3809</t>
  </si>
  <si>
    <t>62 Units</t>
  </si>
  <si>
    <t>Coastal</t>
  </si>
  <si>
    <t>3809madison</t>
  </si>
  <si>
    <r>
      <t xml:space="preserve">PALOMA 2 (COMMERCIAL)
</t>
    </r>
    <r>
      <rPr>
        <sz val="11"/>
        <rFont val="Calibri"/>
        <family val="2"/>
      </rPr>
      <t>8033 Saba Road
Richmond, B.C.
V6Y 4M8</t>
    </r>
  </si>
  <si>
    <t>BCS3856C</t>
  </si>
  <si>
    <t>01/07/2011
NLM as of
October 25, 2012</t>
  </si>
  <si>
    <r>
      <t xml:space="preserve">THE PARC GARDEN RESIDENCES (RESIDENTIAL)
</t>
    </r>
    <r>
      <rPr>
        <sz val="11"/>
        <rFont val="Calibri"/>
        <family val="2"/>
      </rPr>
      <t>2957 Glen Drive
Coquitlam, BC
V3B 0B5</t>
    </r>
  </si>
  <si>
    <t>BCS4108</t>
  </si>
  <si>
    <t>Richard Li
604-464-3666
parc@ranchogroup.com
Concierge: 604-464-3666
parc@ranchogroup.com</t>
  </si>
  <si>
    <t>$100 except intial owners</t>
  </si>
  <si>
    <t>parc5248</t>
  </si>
  <si>
    <r>
      <t xml:space="preserve">THE PARC GARDEN RESIDENCES(COMMERCIAL)
</t>
    </r>
    <r>
      <rPr>
        <sz val="11"/>
        <rFont val="Calibri"/>
        <family val="2"/>
      </rPr>
      <t>2957 Glen Drive
Coquitlam, BC
V3B 0B5</t>
    </r>
  </si>
  <si>
    <r>
      <t xml:space="preserve">THE PARC GARDEN RESIDENCES (JOINT)
</t>
    </r>
    <r>
      <rPr>
        <sz val="11"/>
        <rFont val="Calibri"/>
        <family val="2"/>
      </rPr>
      <t>2957 Glen Drive
Coquitlam, BC
V3B 0B5</t>
    </r>
  </si>
  <si>
    <r>
      <t xml:space="preserve">KITS 360 - COMMERCIAL
</t>
    </r>
    <r>
      <rPr>
        <sz val="11"/>
        <rFont val="Calibri"/>
        <family val="2"/>
      </rPr>
      <t>2288 Burrard Street 
Vancouver, B.C. 
V6J 0E5</t>
    </r>
  </si>
  <si>
    <t>Francisco Campos 
604-839-8165
fcampos@ranchogroup.com</t>
  </si>
  <si>
    <t>Hollyburn Property Ltd</t>
  </si>
  <si>
    <t>CRESTVIEW TERRACE
1414 Davie Street
Vancouver, BC
V6G 1V4
Owner: Dr. Peter Yeung</t>
  </si>
  <si>
    <t>Dana Dufresne
Suite 801
Cell: 778-686-4169</t>
  </si>
  <si>
    <t>MOUNTAIN VIEW</t>
  </si>
  <si>
    <t>24 Units</t>
  </si>
  <si>
    <t>Cathy Groenveld
64-36060 Old Yale Rd. 
Abbotsford, BC
V3G 2E9</t>
  </si>
  <si>
    <t>same as 5042</t>
  </si>
  <si>
    <t>SOUTHMERE
1850 Southmere Crescent East
Surrey, BC
V4A 6Y6</t>
  </si>
  <si>
    <t>JB</t>
  </si>
  <si>
    <t>The Cooperators</t>
  </si>
  <si>
    <t xml:space="preserve">Matthew Li at VANAC
matthewli@vanac.net
</t>
  </si>
  <si>
    <t>EVERALL ESTATES LTD./PACIFICA
1580 Everall Street
White Rock, BC</t>
  </si>
  <si>
    <t>NLM
Dec 17, 2013
Pacific Quorum</t>
  </si>
  <si>
    <r>
      <t xml:space="preserve">THE BEASLEY
</t>
    </r>
    <r>
      <rPr>
        <sz val="11"/>
        <rFont val="Calibri"/>
        <family val="2"/>
      </rPr>
      <t>888 Homer Street  
Vancouver, BC</t>
    </r>
    <r>
      <rPr>
        <b/>
        <sz val="11"/>
        <rFont val="Calibri"/>
        <family val="2"/>
      </rPr>
      <t xml:space="preserve">
</t>
    </r>
  </si>
  <si>
    <t>BCS4249</t>
  </si>
  <si>
    <t>Bldg. Super: Allan Wong
Phone: 604-813-9972
Email: awong@allbrightservices.ca
Concierge: 778-874-1054</t>
  </si>
  <si>
    <t>01/05/2011
NLM February 1, 2014
AWM</t>
  </si>
  <si>
    <r>
      <t xml:space="preserve">WEST PENDER PLACE (RESIDENTIAL)
</t>
    </r>
    <r>
      <rPr>
        <sz val="11"/>
        <rFont val="Calibri"/>
        <family val="2"/>
      </rPr>
      <t xml:space="preserve">1499 West Pender
1477 West Pender
1409 West Pender
Vancouver, B.C.
</t>
    </r>
  </si>
  <si>
    <t>144 Units</t>
  </si>
  <si>
    <t>Concierge:
604-681-2633
westpender@ranchogroup.com
Building Manager:
Richard Chan
604-785-5632 (don't give out)
rchan@allbrightservices.ca</t>
  </si>
  <si>
    <t>NORMAC
3 of 3</t>
  </si>
  <si>
    <r>
      <t xml:space="preserve">WEST PENDER PLACE (JOINT)
</t>
    </r>
    <r>
      <rPr>
        <sz val="11"/>
        <rFont val="Calibri"/>
        <family val="2"/>
      </rPr>
      <t xml:space="preserve">1499 West Pender
1477 West Pender
1409 West Pender
Vancouver, B.C.
</t>
    </r>
  </si>
  <si>
    <t>NLM March 1, 2014
Peterson Residential</t>
  </si>
  <si>
    <r>
      <rPr>
        <b/>
        <sz val="11"/>
        <color indexed="60"/>
        <rFont val="Calibri"/>
        <family val="2"/>
      </rPr>
      <t>SILVER SEA</t>
    </r>
    <r>
      <rPr>
        <sz val="11"/>
        <color indexed="60"/>
        <rFont val="Calibri"/>
        <family val="2"/>
      </rPr>
      <t xml:space="preserve">
638 Kinghorne V6Z 3H6   
 616 Kinghorne V6Z 3H6    
 626 Kinghorne V6Z 3H6        
 628 Kinghorne V6Z 3H6        
 Vancouver, BC
</t>
    </r>
  </si>
  <si>
    <t>BCS2128</t>
  </si>
  <si>
    <t>33 Units</t>
  </si>
  <si>
    <t xml:space="preserve">Bldg. Super: Neil Lim
Cell: 604-790-9201  (do not give out)
email: nlim@allbrightservices.ca
Concierge: 604-682-7751
</t>
  </si>
  <si>
    <t>NLM February 28, 2014
First Service</t>
  </si>
  <si>
    <t>fRASER APARTMENTS
6462 Fraser Street
Vancouver, BC
V5W 3A4</t>
  </si>
  <si>
    <t>BCS3202</t>
  </si>
  <si>
    <t xml:space="preserve">Flagship - 112 Units
Mariner - 133 Units
</t>
  </si>
  <si>
    <t>CS/VK</t>
  </si>
  <si>
    <t xml:space="preserve">
Concierge: Kan 604-685-8291
Cell: 604-312-2810
fax: 604-685-4497
marinerflagshipconcierge@ranchogroup.com
Effective October 3rd
Don Ganja
604-813-0307 (Do not give out)
dganja@ranchogroup.com
</t>
  </si>
  <si>
    <t>$250.00
$100.00 - no elevator/
stairs
$75.00 - internal</t>
  </si>
  <si>
    <t>2/1/2013
NLM April 25, 2014
Colyvan Pacific</t>
  </si>
  <si>
    <r>
      <t xml:space="preserve">IVY AT MARINE - RESIDENTIAL
</t>
    </r>
    <r>
      <rPr>
        <sz val="11"/>
        <rFont val="Calibri"/>
        <family val="2"/>
      </rPr>
      <t>1273 Marine Drive
North Vancouver
V7P 1T3</t>
    </r>
    <r>
      <rPr>
        <b/>
        <sz val="11"/>
        <rFont val="Calibri"/>
        <family val="2"/>
      </rPr>
      <t xml:space="preserve">
</t>
    </r>
  </si>
  <si>
    <t>EPS1210</t>
  </si>
  <si>
    <t xml:space="preserve"> No Move In Fee
$500 Damage Deposit 
$100 Elevator Key Deposit
</t>
  </si>
  <si>
    <r>
      <t xml:space="preserve">IVY AT MARINE - COMMERCIAL 
</t>
    </r>
    <r>
      <rPr>
        <sz val="11"/>
        <rFont val="Calibri"/>
        <family val="2"/>
      </rPr>
      <t>1277 Marine Drive
North Vancouver
V7P 1T3</t>
    </r>
    <r>
      <rPr>
        <b/>
        <sz val="11"/>
        <rFont val="Calibri"/>
        <family val="2"/>
      </rPr>
      <t xml:space="preserve">
</t>
    </r>
  </si>
  <si>
    <r>
      <t xml:space="preserve">IVY AT MARINE - JOINT
</t>
    </r>
    <r>
      <rPr>
        <sz val="11"/>
        <rFont val="Calibri"/>
        <family val="2"/>
      </rPr>
      <t>1273 and 1277 Marine Drive
North Vancouver
V7P 1T3</t>
    </r>
    <r>
      <rPr>
        <b/>
        <sz val="11"/>
        <rFont val="Calibri"/>
        <family val="2"/>
      </rPr>
      <t xml:space="preserve">
</t>
    </r>
  </si>
  <si>
    <t>3/1/2011
NLM September 1, 2014
Pacific Quorum</t>
  </si>
  <si>
    <r>
      <t xml:space="preserve">CONFERENCE PLAZA  (JOINT)
</t>
    </r>
    <r>
      <rPr>
        <sz val="11"/>
        <rFont val="Calibri"/>
        <family val="2"/>
      </rPr>
      <t>438 Seymour Street
Vancouver, B.C.
V6B 6H4 
515 Pender Street, Vancouver</t>
    </r>
  </si>
  <si>
    <t>342 Units</t>
  </si>
  <si>
    <t xml:space="preserve">3/1/2014
NLM 
December 1, 2014
CITYBASE MANAGEMENT LTD.
Tel:    604-708-8998
Fax:    604-708-9982
Address:    #400 - 1200 W 73rd Avenue, Vancouver, BC V6P 6G5
Email:    info@citybase.ca
PM: Victor Chan
</t>
  </si>
  <si>
    <r>
      <t xml:space="preserve">THE EVERGREENS
</t>
    </r>
    <r>
      <rPr>
        <sz val="11"/>
        <rFont val="Calibri"/>
        <family val="2"/>
      </rPr>
      <t>6191 Buswell Street (5319b)
8171 Saba Road (5319s)
Richmond, BC</t>
    </r>
  </si>
  <si>
    <t>LMS2793</t>
  </si>
  <si>
    <t>164 Units</t>
  </si>
  <si>
    <t>Building Manager: Kevin Zhong
Cell: 778-869-2793
Email: Evergreen@ranchogroup.com
Office hours: Monday to Friday 8:30 a.m. to 5:00 p.m.</t>
  </si>
  <si>
    <t xml:space="preserve">NLM AS OF
December 31, 2014
Leonis Management
</t>
  </si>
  <si>
    <r>
      <t xml:space="preserve">ABBEY ROAD TOWNHOMES
</t>
    </r>
    <r>
      <rPr>
        <sz val="11"/>
        <rFont val="Calibri"/>
        <family val="2"/>
      </rPr>
      <t>2469 164th Street
Surrey, BC V3S 3T4</t>
    </r>
  </si>
  <si>
    <t>EPS959</t>
  </si>
  <si>
    <t>80 units, 7 phases</t>
  </si>
  <si>
    <r>
      <t xml:space="preserve">INTERGULF DEVELOPMENT (METROTOWN) CORP.
</t>
    </r>
    <r>
      <rPr>
        <sz val="11"/>
        <rFont val="Calibri"/>
        <family val="2"/>
      </rPr>
      <t>6635 Dunblane Avenue, V5H 3K5
6616 Nelson Avenue, V5H 3J8
Burnaby, BC</t>
    </r>
  </si>
  <si>
    <t>Rental</t>
  </si>
  <si>
    <t>Dunblane - 39 Units
Nelson - 23 Units</t>
  </si>
  <si>
    <t>Owner's own insurance
Marsh</t>
  </si>
  <si>
    <t>SHANNON SHORES/GLOUCESTERSHIRE DEV.
15213 &amp; 15233 Pacific Avenue
White Rock</t>
  </si>
  <si>
    <t>Active October 1, 2014
NLM as of May 1, 2015
REMAX</t>
  </si>
  <si>
    <t>EPS2297</t>
  </si>
  <si>
    <t>Active October 1, 2015
NLM as of May 1, 2015
REMAX</t>
  </si>
  <si>
    <r>
      <t xml:space="preserve">THE WESTERLY (RESIDENTIAL)
</t>
    </r>
    <r>
      <rPr>
        <sz val="11"/>
        <rFont val="Calibri"/>
        <family val="2"/>
      </rPr>
      <t>2528 Collingwood Street
Vancouver, BC V6R 0C1</t>
    </r>
  </si>
  <si>
    <t xml:space="preserve">Phase 1 - July 1, 2011
Phase 2 - October 1, 2011
Phase 3 - November 1, 2011
Phase 4 - December 15, 2011
Phase </t>
  </si>
  <si>
    <r>
      <t xml:space="preserve">NUVO 2
Phases 1-7
</t>
    </r>
    <r>
      <rPr>
        <sz val="11"/>
        <rFont val="Calibri"/>
        <family val="2"/>
      </rPr>
      <t>15405 31st Avenue
Surrey, BC
V3S 2W5</t>
    </r>
  </si>
  <si>
    <t>BCS4135</t>
  </si>
  <si>
    <t>Phase 1 - 12 Units
Phase 2 - 6 Units
Phase 3 - 11 Units
Phase 4 - 14 Units
Phase 5 - 11 Units
Phase 6 - 11 Units
Phase 7 - 10 Units
Total - 75 Units</t>
  </si>
  <si>
    <t>9/30/2015
NLM September 30, 2015</t>
  </si>
  <si>
    <r>
      <t xml:space="preserve">SALIX
</t>
    </r>
    <r>
      <rPr>
        <sz val="11"/>
        <rFont val="Calibri"/>
        <family val="2"/>
      </rPr>
      <t>6480 195A Street
Surrey, BC V4N 6P1</t>
    </r>
  </si>
  <si>
    <t>EPS1745</t>
  </si>
  <si>
    <t>5264</t>
  </si>
  <si>
    <t>THE HAMILTON - COMMERCIAL</t>
  </si>
  <si>
    <t>LMS2361</t>
  </si>
  <si>
    <t>12/1/2014
NLM November 30, 2015
Pacific Quorum</t>
  </si>
  <si>
    <r>
      <t xml:space="preserve">MODERN (JOINT)
</t>
    </r>
    <r>
      <rPr>
        <sz val="11"/>
        <rFont val="Calibri"/>
        <family val="2"/>
      </rPr>
      <t xml:space="preserve">1009 Harwood Street
Vancouver, BC V6E 0C2 </t>
    </r>
  </si>
  <si>
    <t>DC
(assistant is Shanteca)</t>
  </si>
  <si>
    <t>Rajiv james
Building Manager
Email: rjames@allbrightservices.ca
Cell: 604-317-0932
Concierge
Tel: 604-915-3069
Cell: 778-875-1064 (do not give)
modern@ranchogroup.com</t>
  </si>
  <si>
    <r>
      <t xml:space="preserve">MODERN (RESIDENTIAL)
</t>
    </r>
    <r>
      <rPr>
        <sz val="11"/>
        <rFont val="Calibri"/>
        <family val="2"/>
      </rPr>
      <t xml:space="preserve">1009 Harwood Street
Vancouver, BC V6E 0C2 </t>
    </r>
  </si>
  <si>
    <t>118 Units</t>
  </si>
  <si>
    <t>5268</t>
  </si>
  <si>
    <t xml:space="preserve">Novmeber 1, 2012
NLM as of December 31, 2015
</t>
  </si>
  <si>
    <r>
      <t xml:space="preserve">LA RUE
</t>
    </r>
    <r>
      <rPr>
        <sz val="11"/>
        <rFont val="Calibri"/>
        <family val="2"/>
      </rPr>
      <t>19180 65th Avenue
Surrey, BC V4N 6M5</t>
    </r>
  </si>
  <si>
    <t>EPS929</t>
  </si>
  <si>
    <t>49 unit, 4 phases</t>
  </si>
  <si>
    <t>laruecouncil@gmail.com</t>
  </si>
  <si>
    <t>5269</t>
  </si>
  <si>
    <t>PARIS - JOINT</t>
  </si>
  <si>
    <t>BCS3221</t>
  </si>
  <si>
    <t>Cam Brister
604-312-9936 (don't give out)</t>
  </si>
  <si>
    <t>December 31, 2012</t>
  </si>
  <si>
    <t>5276</t>
  </si>
  <si>
    <t xml:space="preserve">June 1, 2013
NLM January 31, 2016
Campbell </t>
  </si>
  <si>
    <r>
      <t xml:space="preserve">PROMENADE
</t>
    </r>
    <r>
      <rPr>
        <sz val="11"/>
        <rFont val="Calibri"/>
        <family val="2"/>
      </rPr>
      <t>15747 Marine Drive
White Rock, B.C.
V4B 1E4</t>
    </r>
    <r>
      <rPr>
        <b/>
        <sz val="11"/>
        <rFont val="Calibri"/>
        <family val="2"/>
      </rPr>
      <t xml:space="preserve">
</t>
    </r>
  </si>
  <si>
    <t>EPS806</t>
  </si>
  <si>
    <t>11/1/2014
NLM as of April 30, 2016
Strata West</t>
  </si>
  <si>
    <r>
      <t xml:space="preserve">CENTRAL
</t>
    </r>
    <r>
      <rPr>
        <sz val="11"/>
        <color indexed="30"/>
        <rFont val="Calibri"/>
        <family val="2"/>
      </rPr>
      <t>1618 Quebec Street
Vancouver, BC
V6A 0C5</t>
    </r>
  </si>
  <si>
    <t>EPS2304</t>
  </si>
  <si>
    <t>304 Units</t>
  </si>
  <si>
    <t>Concierge
centralconcierge@ranchogroup.com
778-873-5579</t>
  </si>
  <si>
    <r>
      <t xml:space="preserve">LIONS GATE CENTRE
</t>
    </r>
    <r>
      <rPr>
        <sz val="11"/>
        <rFont val="Calibri"/>
        <family val="2"/>
      </rPr>
      <t>2030 Marine Drive
North Vancouver, BC
V7P 1V7</t>
    </r>
  </si>
  <si>
    <t>LMS2241</t>
  </si>
  <si>
    <t>16 Comm</t>
  </si>
  <si>
    <t xml:space="preserve">Morteza Azadeh
604-771-9581
mazadeh@palagon.com
</t>
  </si>
  <si>
    <r>
      <rPr>
        <b/>
        <sz val="11"/>
        <rFont val="Calibri"/>
        <family val="2"/>
      </rPr>
      <t>HUDSON MANOR</t>
    </r>
    <r>
      <rPr>
        <sz val="11"/>
        <rFont val="Calibri"/>
        <family val="2"/>
      </rPr>
      <t xml:space="preserve">
8635 Hudson Street
Vancouver, BC V6P 4M6
</t>
    </r>
  </si>
  <si>
    <t>Colliers
(Leave with them)</t>
  </si>
  <si>
    <t>November 1, 2009
NLM as of June 1, 2016
Premier Strata Services
Leslie Haycock</t>
  </si>
  <si>
    <r>
      <t xml:space="preserve">PADDINGTON STATION
</t>
    </r>
    <r>
      <rPr>
        <sz val="11"/>
        <rFont val="Calibri"/>
        <family val="2"/>
      </rPr>
      <t xml:space="preserve">Building 1 (5217) - 5650 201A Street V3A 0B3
Building 2 (5217-2) - 5660 201A Street V3A 0B4
Building 3 (5217-3) - 20170 Fraser Hwy. (TH) V3A 0B5
Building 4 (5217-4) - 20180 Fraser Hwy, (TH) V3A 0B5
Langley, BC
</t>
    </r>
  </si>
  <si>
    <t>BCS3568</t>
  </si>
  <si>
    <t xml:space="preserve">220 Units
Building 1 - 86 units
Building 2 - 98 units
Building 3 - 18 TH
Building 4 - 18 TH </t>
  </si>
  <si>
    <t xml:space="preserve">Judy Taylor, Resident Manager
1-604-514-9977 (okay to give out)
taylorjl@shaw.ca
</t>
  </si>
  <si>
    <r>
      <rPr>
        <b/>
        <sz val="11"/>
        <rFont val="Calibri"/>
        <family val="2"/>
      </rPr>
      <t>GREENSLEEVES APARTMENTS</t>
    </r>
    <r>
      <rPr>
        <sz val="11"/>
        <rFont val="Calibri"/>
        <family val="2"/>
      </rPr>
      <t xml:space="preserve">
1975 Alma Street
Vancouver, BC V6R 3P8
</t>
    </r>
  </si>
  <si>
    <t>13 Units</t>
  </si>
  <si>
    <r>
      <rPr>
        <b/>
        <sz val="11"/>
        <rFont val="Calibri"/>
        <family val="2"/>
      </rPr>
      <t>CHURCHILL APARTMENTS</t>
    </r>
    <r>
      <rPr>
        <sz val="11"/>
        <rFont val="Calibri"/>
        <family val="2"/>
      </rPr>
      <t xml:space="preserve">
3731 West 4th Avenue
Vancouver, BC V6R 1P4
</t>
    </r>
  </si>
  <si>
    <r>
      <rPr>
        <b/>
        <sz val="11"/>
        <rFont val="Calibri"/>
        <family val="2"/>
      </rPr>
      <t>MAGNOLIA APARTMENTS</t>
    </r>
    <r>
      <rPr>
        <sz val="11"/>
        <rFont val="Calibri"/>
        <family val="2"/>
      </rPr>
      <t xml:space="preserve">
3743 West 4th Avenue
Vancouver, BC V6R 1P4
</t>
    </r>
  </si>
  <si>
    <t>11 Units</t>
  </si>
  <si>
    <t>Colliers</t>
  </si>
  <si>
    <t xml:space="preserve">December 1, 2009
NLM - June 20, 2016
Goldstream Properties Ltd. </t>
  </si>
  <si>
    <r>
      <t xml:space="preserve">THE GARAGE
</t>
    </r>
    <r>
      <rPr>
        <sz val="11"/>
        <rFont val="Calibri"/>
        <family val="2"/>
      </rPr>
      <t>12 Water Street
Vancouver, BC
V6B 1A5</t>
    </r>
  </si>
  <si>
    <t>BCS3647</t>
  </si>
  <si>
    <t>34 Units</t>
  </si>
  <si>
    <t>SG</t>
  </si>
  <si>
    <t>Cam Brister
604-312-9936</t>
  </si>
  <si>
    <t xml:space="preserve">$50 (owners) / $100 (tenants)
</t>
  </si>
  <si>
    <t>1/1/2014
NLM as of June 30, 2016
PACIFIC QUORUM</t>
  </si>
  <si>
    <r>
      <t xml:space="preserve">ALEXANDRA
</t>
    </r>
    <r>
      <rPr>
        <sz val="11"/>
        <color indexed="10"/>
        <rFont val="Calibri"/>
        <family val="2"/>
      </rPr>
      <t>1221 Bidwell Street
Vancouver, BC
V6G 0B1</t>
    </r>
    <r>
      <rPr>
        <b/>
        <sz val="11"/>
        <color indexed="10"/>
        <rFont val="Calibri"/>
        <family val="2"/>
      </rPr>
      <t xml:space="preserve">
</t>
    </r>
  </si>
  <si>
    <t>EPS1571</t>
  </si>
  <si>
    <t>85 Residential  units</t>
  </si>
  <si>
    <t xml:space="preserve">Concierge:  Angela Mueller
Building Manager:  Mark Kenny – Allbright (only there 4 hours, 1 day a week)
</t>
  </si>
  <si>
    <t>Novmeber 23-25, 2015</t>
  </si>
  <si>
    <t xml:space="preserve">- $150 move in fee
- $75.00 move in fee for internal moves
</t>
  </si>
  <si>
    <t>8/1/2015
NLM as of July 31, 2016
ASSERTIVE NORTHWEST PROPERTY MANAGEMENT GROUP</t>
  </si>
  <si>
    <r>
      <t xml:space="preserve">BOHEME
</t>
    </r>
    <r>
      <rPr>
        <sz val="11"/>
        <rFont val="Calibri"/>
        <family val="2"/>
      </rPr>
      <t>1588 East Hastings Street
Vancouver, BC
V5L 0B8</t>
    </r>
  </si>
  <si>
    <t>EPS2633</t>
  </si>
  <si>
    <t xml:space="preserve">82 Units </t>
  </si>
  <si>
    <t>Celso 
604-721-9848
(Do Not give out)
z_celso@hotmail.com</t>
  </si>
  <si>
    <t xml:space="preserve">ALEXANDRA COMMERCIAL
</t>
  </si>
  <si>
    <t>EPS2049</t>
  </si>
  <si>
    <t>Concierge:
Alan Chiang
alexandraconcierge@ranchogroup.com
778-873-6398
Building Manager: Pete Duchesne</t>
  </si>
  <si>
    <t xml:space="preserve">5196
5196-1 (Phase 1)
5196-1C (Phase 1 Commercial)
5196-2 (Phase 2)
5196-2C (Phase 2 Commercial)
</t>
  </si>
  <si>
    <t>NLM as of Nov 30, 2016
Urban Properties</t>
  </si>
  <si>
    <r>
      <t xml:space="preserve">PARIS (JOINT)
PHASE 1 - </t>
    </r>
    <r>
      <rPr>
        <sz val="11"/>
        <rFont val="Calibri"/>
        <family val="2"/>
      </rPr>
      <t>53 West Hastings Street V6B 1G4</t>
    </r>
    <r>
      <rPr>
        <b/>
        <sz val="11"/>
        <rFont val="Calibri"/>
        <family val="2"/>
      </rPr>
      <t xml:space="preserve">
PHASE 2 - </t>
    </r>
    <r>
      <rPr>
        <sz val="11"/>
        <rFont val="Calibri"/>
        <family val="2"/>
      </rPr>
      <t>53 West Hastings Street 
47 &amp; 49 West Hastings Street - Commercial 
Vancouver, BC</t>
    </r>
  </si>
  <si>
    <t>PHASE 1  29 Res
1 Comm
PHASE 2  17 Res
3 Comm</t>
  </si>
  <si>
    <t>$100 Move Fee, $100 Elevator Key Deposit (deposit must be cash only)</t>
  </si>
  <si>
    <t>5270</t>
  </si>
  <si>
    <t>PARIS - COMMERCIAL</t>
  </si>
  <si>
    <t>NLM as of Nov 28, 2016
Sutton</t>
  </si>
  <si>
    <r>
      <t xml:space="preserve">ALTURA
</t>
    </r>
    <r>
      <rPr>
        <sz val="11"/>
        <rFont val="Calibri"/>
        <family val="2"/>
      </rPr>
      <t xml:space="preserve">2349 Welcher Avenue
Port Coquitlam, B.C. </t>
    </r>
    <r>
      <rPr>
        <b/>
        <sz val="11"/>
        <rFont val="Calibri"/>
        <family val="2"/>
      </rPr>
      <t xml:space="preserve">
</t>
    </r>
  </si>
  <si>
    <t>EPS2959</t>
  </si>
  <si>
    <t xml:space="preserve">5320
5320-1 (Tower 1)
5320-2 (Tower 2)
5320-3 (Tower 3 &amp; Live/Work)
</t>
  </si>
  <si>
    <t xml:space="preserve">NLM as of Jan 31, 2017
First Service Residential </t>
  </si>
  <si>
    <r>
      <t xml:space="preserve">ORA
</t>
    </r>
    <r>
      <rPr>
        <sz val="11"/>
        <color indexed="30"/>
        <rFont val="Calibri"/>
        <family val="2"/>
      </rPr>
      <t>6951 Elmbridge Way, V7C 0A4 (Tower 1)
6971 Elmbridge Way, V7C 0A5 (Tower 2)
6200 River Road, V7C 0B1 (Tower 3)
5511 Hollybridge Way, V7C 0A3 (Live/Work)
Richmond BC</t>
    </r>
  </si>
  <si>
    <t>EPS1236</t>
  </si>
  <si>
    <t>324 Units</t>
  </si>
  <si>
    <t>JL/TL</t>
  </si>
  <si>
    <t xml:space="preserve">Office (okay to give out):
604-270-1164
ora@ranchogroup.com
Kelvin Yu (Tuesday - Saturday, 8:00 a.m. - 4:30 p.m.)
cell do not give out: 604-317-5146
kfaiyu@ranchogroup.com  
Stephen Chang (Sunday – Thursday, 9:30 a.m. - 6:00 p.m.)
cell do not give out: 604-790-2243
schang@ranchogroup.com 
</t>
  </si>
  <si>
    <t xml:space="preserve">Move in fee: $300
Move out fee: $0
Damage deposit: $0
Move into furnished/between floors: $150
Moves over 4 hours: $50/hr
</t>
  </si>
  <si>
    <t>NLM as of Feb 15, 2017
Leonis Management</t>
  </si>
  <si>
    <r>
      <t xml:space="preserve">SOUTH POINT WALK
</t>
    </r>
    <r>
      <rPr>
        <sz val="11"/>
        <rFont val="Calibri"/>
        <family val="2"/>
      </rPr>
      <t>15188 29A Avenue
Surrey, BC</t>
    </r>
  </si>
  <si>
    <t>EPS2246</t>
  </si>
  <si>
    <t>42 Units</t>
  </si>
  <si>
    <t>southpointwalk@mastercare.com
Terr Laferte
Account Executive
604-525-8221</t>
  </si>
  <si>
    <t xml:space="preserve">5371 
5372
5373
5371APT (Apartments)
5371JT (Joint)
5371TH (Townhomes)
</t>
  </si>
  <si>
    <t>NLM as of June 12, 2017
Pacific Quorum</t>
  </si>
  <si>
    <r>
      <t xml:space="preserve">PARKSIDE AT VICTORIA HILL 
</t>
    </r>
    <r>
      <rPr>
        <sz val="11"/>
        <color theme="4"/>
        <rFont val="Calibri"/>
        <family val="2"/>
      </rPr>
      <t>271 Francis Way
New Westminster, B.C. 
V3L 0H2
5371 - Joint
5372 - Apartments
5373 - Townhomes</t>
    </r>
  </si>
  <si>
    <t>EPS2995</t>
  </si>
  <si>
    <t>TH - 22 Units
APT - 226 Units
TOTAL - 248 Units</t>
  </si>
  <si>
    <r>
      <rPr>
        <b/>
        <sz val="11"/>
        <color theme="4"/>
        <rFont val="Calibri"/>
        <family val="2"/>
        <scheme val="minor"/>
      </rPr>
      <t>Concierge:</t>
    </r>
    <r>
      <rPr>
        <sz val="11"/>
        <color theme="4"/>
        <rFont val="Calibri"/>
        <family val="2"/>
        <scheme val="minor"/>
      </rPr>
      <t xml:space="preserve">
Office: 604-525-5584
Cell: 604-328-5534
parksideconcierge@ranchogroup.com
</t>
    </r>
    <r>
      <rPr>
        <b/>
        <sz val="11"/>
        <color theme="4"/>
        <rFont val="Calibri"/>
        <family val="2"/>
        <scheme val="minor"/>
      </rPr>
      <t>Head Concierge
Sam Mishra:</t>
    </r>
    <r>
      <rPr>
        <sz val="11"/>
        <color theme="4"/>
        <rFont val="Calibri"/>
        <family val="2"/>
        <scheme val="minor"/>
      </rPr>
      <t xml:space="preserve">
Cell: 604-319-3143
parkside@ranchogroup.com 
</t>
    </r>
  </si>
  <si>
    <t>Februayr 23, 2017</t>
  </si>
  <si>
    <t>NLM as of February 1, 2017
contract expired</t>
  </si>
  <si>
    <r>
      <rPr>
        <b/>
        <sz val="11"/>
        <rFont val="Calibri"/>
        <family val="2"/>
      </rPr>
      <t xml:space="preserve">STREETSIDE DEVELOPMENTS (B.C.) LTD.
</t>
    </r>
    <r>
      <rPr>
        <sz val="11"/>
        <rFont val="Calibri"/>
        <family val="2"/>
      </rPr>
      <t xml:space="preserve">4453, 4457 &amp; 4463 Hastings Street
Burnaby BC
</t>
    </r>
  </si>
  <si>
    <t>NLM as of Sept 1, 2017
Leonis Management</t>
  </si>
  <si>
    <r>
      <t xml:space="preserve">PAXTON
</t>
    </r>
    <r>
      <rPr>
        <sz val="11"/>
        <rFont val="Calibri"/>
        <family val="2"/>
      </rPr>
      <t xml:space="preserve">2550 156th Street
Surrey, B.C. </t>
    </r>
    <r>
      <rPr>
        <b/>
        <sz val="11"/>
        <rFont val="Calibri"/>
        <family val="2"/>
      </rPr>
      <t xml:space="preserve">
</t>
    </r>
  </si>
  <si>
    <t>EPS2925</t>
  </si>
  <si>
    <t>25 Units, 4 Phases
Phase 1 - 11
Phase 2 - 5
Phase 3 - 4
Phase 4 - 5</t>
  </si>
  <si>
    <t xml:space="preserve">6/1/2015
NLM as of October 1, 2017
Pacific Dawn </t>
  </si>
  <si>
    <r>
      <rPr>
        <b/>
        <sz val="11"/>
        <rFont val="Calibri"/>
        <family val="2"/>
      </rPr>
      <t xml:space="preserve">2135 HERITAGE PARK LANE (LODEN GREEN)
</t>
    </r>
    <r>
      <rPr>
        <sz val="11"/>
        <rFont val="Calibri"/>
        <family val="2"/>
      </rPr>
      <t>2135 Heritage Park Lane
North Vancouver, BC
V7H 0B6</t>
    </r>
  </si>
  <si>
    <t>EPS2587</t>
  </si>
  <si>
    <t>5/1/2016
NLM - October 15, 2017</t>
  </si>
  <si>
    <r>
      <t xml:space="preserve">THE CARLYLE - JOINT
</t>
    </r>
    <r>
      <rPr>
        <sz val="11"/>
        <rFont val="Calibri"/>
        <family val="2"/>
      </rPr>
      <t>1060 Alberni Street
Vancouver, BC
V6E 4K2</t>
    </r>
  </si>
  <si>
    <t>VR2213</t>
  </si>
  <si>
    <t xml:space="preserve">JOINT </t>
  </si>
  <si>
    <t>aor 26</t>
  </si>
  <si>
    <t xml:space="preserve">5037
5037-1 (Tower 1)
5037-2 (Tower 2)
5037-3 (Tower 3)
5037-4 (Villas)
</t>
  </si>
  <si>
    <t>NLM as of NOVEMBER 1, 2017
FSR</t>
  </si>
  <si>
    <r>
      <rPr>
        <b/>
        <sz val="11"/>
        <color indexed="60"/>
        <rFont val="Calibri"/>
        <family val="2"/>
      </rPr>
      <t>THE AQUARIUS</t>
    </r>
    <r>
      <rPr>
        <sz val="11"/>
        <color indexed="60"/>
        <rFont val="Calibri"/>
        <family val="2"/>
      </rPr>
      <t xml:space="preserve">
1199 Marinaside Crescent - Tower I
V6Z 2Y2
1111 Marinaside Crescent - Villas
V6Z 2Y3
198 Aquarius Mews - Tower II
V6Z 2Y4
189 Davie Street - Tower III
Vancouver, BC
V6Z 2X9
188 Aquarius Mews - Concierge
V6Z 2Y5</t>
    </r>
  </si>
  <si>
    <t>LMS3903</t>
  </si>
  <si>
    <t>480 Units</t>
  </si>
  <si>
    <t xml:space="preserve">Concierge
604-646-0607
aquarius@cmiconcierge.net
Bldg Maintenance Manager:  
Hercules Westhuizen 
hvanderwesthuizen@ranchogroup.com
Cell: 604-813-0549
Office: 604-646-0626
Fax: 604-646-0690
Maintenance Bldg Asst.:
Dan Thein &amp; Yakup Cetin 
Office: 604-646-0626
Aquarius Manager: Sandy Banns 
SBanns@ranchogroup.com
Tel: 604-646-0627
</t>
  </si>
  <si>
    <t xml:space="preserve">5346 (Residential)
5346-C (Commercial)
</t>
  </si>
  <si>
    <r>
      <t xml:space="preserve">THE AVE - JOINT
</t>
    </r>
    <r>
      <rPr>
        <sz val="11"/>
        <rFont val="Calibri"/>
        <family val="2"/>
      </rPr>
      <t xml:space="preserve">1201 West 16th Street
1209 West 16th Street
1575 Pemberton Avenue
North Vancouver, B.C. 
V7P 1R5
</t>
    </r>
    <r>
      <rPr>
        <b/>
        <sz val="11"/>
        <rFont val="Calibri"/>
        <family val="2"/>
      </rPr>
      <t xml:space="preserve">
</t>
    </r>
  </si>
  <si>
    <t>EPS2676</t>
  </si>
  <si>
    <t>30 Res
7 Comm</t>
  </si>
  <si>
    <t>JOINT SECTION</t>
  </si>
  <si>
    <r>
      <t xml:space="preserve">5330
5330-1 (Tower 1)
5330-2 (Tower 2)
</t>
    </r>
    <r>
      <rPr>
        <b/>
        <sz val="11"/>
        <color rgb="FFFF0000"/>
        <rFont val="Calibri"/>
        <family val="2"/>
        <scheme val="minor"/>
      </rPr>
      <t>NLM as of February 28, 2018
Barbican Property Management
2500 – 13450 102 Avenue
Surrey, BC V3T 5X3</t>
    </r>
  </si>
  <si>
    <r>
      <t xml:space="preserve">CITY POINT (JOINT)
</t>
    </r>
    <r>
      <rPr>
        <sz val="11"/>
        <rFont val="Calibri"/>
        <family val="2"/>
      </rPr>
      <t>10777 University Drive (Tower 1) 
Surrey, BC V3T 0E6
13380 108th Avenue (Tower 2)
Surrey, BC V3T 0E7</t>
    </r>
  </si>
  <si>
    <t>BCS3771</t>
  </si>
  <si>
    <t>457 Units</t>
  </si>
  <si>
    <t xml:space="preserve">Building Manager: Garang (M-F 8am-4pm)
604-765-9945 (ok to give out)
citypointmail@gmail.com
Security: Eureka (M-F 4pm-8am / Weekend 24h)
604-307-6900
</t>
  </si>
  <si>
    <t>July 30, 2015
August 17, 2015</t>
  </si>
  <si>
    <t>5331
NLM as of February 28, 2018
Barbican Property Management
2500 – 13450 102 Avenue
Surrey, BC V3T 5X3</t>
  </si>
  <si>
    <r>
      <t xml:space="preserve">CITY POINT (RESIDENTIAL)
</t>
    </r>
    <r>
      <rPr>
        <sz val="11"/>
        <rFont val="Calibri"/>
        <family val="2"/>
      </rPr>
      <t>10777 University Drive (Tower 1)
13380 108th Avenue (Tower 2)
Surrey, BC</t>
    </r>
  </si>
  <si>
    <t>452 Units</t>
  </si>
  <si>
    <t>5384
NLM as of March 26, 2018
Pacific Quorum</t>
  </si>
  <si>
    <r>
      <t xml:space="preserve">CANVAS
</t>
    </r>
    <r>
      <rPr>
        <sz val="11"/>
        <color theme="4"/>
        <rFont val="Calibri"/>
        <family val="2"/>
        <scheme val="minor"/>
      </rPr>
      <t>Building 1
384 East 1st Avenue
Vancouver, BC V5T 0G5
Building 2
417 Great Northern Way
Vancouver, BC V5T 0G7
Building 1 Ground Floor Units
378, 380, 382, 386, 388, 390, 392, 394 East 1st Avenue
Vancouver, BC V5T 1A9
Building 2 Ground Floor Units
403, 405, 407, 409, 411, 413, 415, 419, 421, 423, 425, 427 Great Northern Way
Vancouver, BC V5T 0G6</t>
    </r>
  </si>
  <si>
    <t>EPS3641</t>
  </si>
  <si>
    <t xml:space="preserve">Building Manager: Kam Sangha
604-418-2099 (do not give out)
kam.sangha@greenappleorganic.com 
</t>
  </si>
  <si>
    <r>
      <t xml:space="preserve">5391
</t>
    </r>
    <r>
      <rPr>
        <b/>
        <sz val="11"/>
        <color rgb="FFFF0000"/>
        <rFont val="Calibri"/>
        <family val="2"/>
        <scheme val="minor"/>
      </rPr>
      <t>NLM - APRIL 16, 2018
STRATACO MANAGEMENT LTD.</t>
    </r>
  </si>
  <si>
    <r>
      <t xml:space="preserve">EVERLY GREEN
</t>
    </r>
    <r>
      <rPr>
        <sz val="11"/>
        <rFont val="Calibri"/>
        <family val="2"/>
        <scheme val="minor"/>
      </rPr>
      <t>8217 204B Street
Langley, BC V2Y 0V6</t>
    </r>
  </si>
  <si>
    <t>EPS3672</t>
  </si>
  <si>
    <t>90 Units
Phases 1-5</t>
  </si>
  <si>
    <t>JC
March 23, 2018</t>
  </si>
  <si>
    <t xml:space="preserve">5352
5346 (Residential)
5346-C (Commercial)
</t>
  </si>
  <si>
    <r>
      <t xml:space="preserve">THE AVE - RESIDENTIAL
</t>
    </r>
    <r>
      <rPr>
        <sz val="11"/>
        <rFont val="Calibri"/>
        <family val="2"/>
      </rPr>
      <t xml:space="preserve">1201 West 16th Street
1209 West 16th Street
1575 Pemberton Avenue
North Vancouver, B.C. 
V7P 1R5
</t>
    </r>
    <r>
      <rPr>
        <b/>
        <sz val="11"/>
        <rFont val="Calibri"/>
        <family val="2"/>
      </rPr>
      <t xml:space="preserve">
</t>
    </r>
  </si>
  <si>
    <t>30 Res</t>
  </si>
  <si>
    <t xml:space="preserve">5355
5346 (Residential)
5346-C (Commercial)
</t>
  </si>
  <si>
    <r>
      <t xml:space="preserve">THE AVE - COMMERCIAL
</t>
    </r>
    <r>
      <rPr>
        <sz val="11"/>
        <rFont val="Calibri"/>
        <family val="2"/>
      </rPr>
      <t>1201 West 16th Street
1209 West 16th Street
1575 Pemberton Avenue
North Vancouver, B.C. 
V7P 1R5</t>
    </r>
  </si>
  <si>
    <t>7 Comm</t>
  </si>
  <si>
    <t>NLM as of Aug 23, 2018
Warrington PCI</t>
  </si>
  <si>
    <r>
      <t xml:space="preserve">BENNINGTON HOUSE
</t>
    </r>
    <r>
      <rPr>
        <sz val="11"/>
        <rFont val="Calibri"/>
        <family val="2"/>
        <scheme val="minor"/>
      </rPr>
      <t>4080 Yukon Street
Vancouver, BC V5Y 2J4</t>
    </r>
  </si>
  <si>
    <t>EPS3101</t>
  </si>
  <si>
    <t xml:space="preserve">5354
5354-1 (9099 Cook Rd., Tower)
5354-2 (9019 Cook Rd., Villas)
</t>
  </si>
  <si>
    <r>
      <t xml:space="preserve">MONET
</t>
    </r>
    <r>
      <rPr>
        <sz val="11"/>
        <color indexed="10"/>
        <rFont val="Calibri"/>
        <family val="2"/>
      </rPr>
      <t xml:space="preserve">Tower – 9099 Cook Road, 
Richmond BC V6Y 0G5
Villas – 9019 Cook Road, 
Richmond BC V6Y 0G6
</t>
    </r>
  </si>
  <si>
    <t>EPS2830</t>
  </si>
  <si>
    <t>142 Res</t>
  </si>
  <si>
    <t xml:space="preserve">
Building Manager
Adrian Tai
Weekday Office Hours: Monday to Friday, 8:00am to 8:00pm
Weekend Office Hours: Saturday to Sunday, 9:00am to 3:00pm
Office Number: 604-674-6021
Cell Number 778-237-2825
Email: monetconcierge@ranchgroup.com
Emergencies please also contact Andy Liu at 604-618-2968
</t>
  </si>
  <si>
    <t xml:space="preserve">$300 move in fee
-          $300 move fee (furnished/between floors)
-          $50/hr move overtime
-          Foreclosure on $4,000
</t>
  </si>
  <si>
    <t>Council signed contract, but went with another management company for full service</t>
  </si>
  <si>
    <r>
      <t xml:space="preserve">ASHLEY PLACE
</t>
    </r>
    <r>
      <rPr>
        <sz val="11"/>
        <rFont val="Calibri"/>
        <family val="2"/>
        <scheme val="minor"/>
      </rPr>
      <t>2829 Ash Street
Vancouver, BC
V5Z 4P5</t>
    </r>
  </si>
  <si>
    <t>LMS1106</t>
  </si>
  <si>
    <t xml:space="preserve">ACCOUNTING </t>
  </si>
  <si>
    <r>
      <t xml:space="preserve">BRANKU HOLDINGS KERRISDALE CENTRAL
</t>
    </r>
    <r>
      <rPr>
        <sz val="11"/>
        <rFont val="Calibri"/>
        <family val="2"/>
      </rPr>
      <t>5733 Balsam Street, V6M 4A2
5762 Balsam Street, V6M 4B9
5733 Vine Street V6M 4A2
Vancouver, BC</t>
    </r>
  </si>
  <si>
    <t>Bldg. Mgr: Johnson Lau
Phone: 604-833-6054
kerrisdalecentral@ranchogroup.com
For Emergencies: Harry
Phone: 604-970-7233</t>
  </si>
  <si>
    <t xml:space="preserve">Willis Louie Ltd. </t>
  </si>
  <si>
    <r>
      <t xml:space="preserve">INTERGULF INDUSTRIAL CENTER
</t>
    </r>
    <r>
      <rPr>
        <sz val="11"/>
        <rFont val="Calibri"/>
        <family val="2"/>
      </rPr>
      <t>1401-1479 Hunter St.
481-497 Mountain Hwy.
North Vancouver, BC</t>
    </r>
    <r>
      <rPr>
        <b/>
        <sz val="11"/>
        <rFont val="Calibri"/>
        <family val="2"/>
      </rPr>
      <t xml:space="preserve">
</t>
    </r>
  </si>
  <si>
    <t xml:space="preserve">5342
5342-1 (Phase 1)
5342-2 (Phase 2)
5342-3 (Phase 3)
5342-4 (Phase 4)
5342-5 (Phase 5)
5342-6 (Phase 6)
5342-7 (Phase 7)
</t>
  </si>
  <si>
    <r>
      <t xml:space="preserve">BROOKSIDE (Phases 1-7)
</t>
    </r>
    <r>
      <rPr>
        <sz val="11"/>
        <rFont val="Calibri"/>
        <family val="2"/>
      </rPr>
      <t>19128 65th Avenue
Surrey, BC
V4N 6P2</t>
    </r>
  </si>
  <si>
    <t>EPS2395</t>
  </si>
  <si>
    <t>JC</t>
  </si>
  <si>
    <t>April 1, 2018</t>
  </si>
  <si>
    <r>
      <t xml:space="preserve">5515
5515-E
5515-W
</t>
    </r>
    <r>
      <rPr>
        <b/>
        <sz val="11"/>
        <color rgb="FFFF0000"/>
        <rFont val="Calibri"/>
        <family val="2"/>
        <scheme val="minor"/>
      </rPr>
      <t>NLM as of December 11, 2018</t>
    </r>
  </si>
  <si>
    <r>
      <t xml:space="preserve">41 WEST
</t>
    </r>
    <r>
      <rPr>
        <sz val="11"/>
        <rFont val="Calibri"/>
        <family val="2"/>
        <scheme val="minor"/>
      </rPr>
      <t>655 West 41st Avenue (East Building)
677 West 41st Avenue (West Building)
Vancouver, BC V5Z 2N1</t>
    </r>
    <r>
      <rPr>
        <b/>
        <sz val="11"/>
        <rFont val="Calibri"/>
        <family val="2"/>
        <scheme val="minor"/>
      </rPr>
      <t xml:space="preserve">
</t>
    </r>
  </si>
  <si>
    <t>EPS4269</t>
  </si>
  <si>
    <t>97 Units</t>
  </si>
  <si>
    <r>
      <t xml:space="preserve">5138
</t>
    </r>
    <r>
      <rPr>
        <b/>
        <sz val="11"/>
        <color rgb="FFFF0000"/>
        <rFont val="Calibri"/>
        <family val="2"/>
        <scheme val="minor"/>
      </rPr>
      <t>NLM as of January 1, 2019
Hugh &amp; McKinnon Realty</t>
    </r>
  </si>
  <si>
    <r>
      <rPr>
        <b/>
        <sz val="11"/>
        <rFont val="Calibri"/>
        <family val="2"/>
      </rPr>
      <t>THE SOUL OF GUILDFORD</t>
    </r>
    <r>
      <rPr>
        <sz val="11"/>
        <rFont val="Calibri"/>
        <family val="2"/>
      </rPr>
      <t xml:space="preserve">
15353 100th Avenue
Surrey, BC
V3R 3S6</t>
    </r>
  </si>
  <si>
    <t>BCS1537</t>
  </si>
  <si>
    <t>88 units</t>
  </si>
  <si>
    <t>NORMAC 
Year 1 of 3</t>
  </si>
  <si>
    <r>
      <t xml:space="preserve">5066
</t>
    </r>
    <r>
      <rPr>
        <b/>
        <sz val="11"/>
        <color rgb="FFFF0000"/>
        <rFont val="Calibri"/>
        <family val="2"/>
        <scheme val="minor"/>
      </rPr>
      <t>NLM as of January 19, 2019
Tribe Management</t>
    </r>
  </si>
  <si>
    <r>
      <rPr>
        <b/>
        <sz val="11"/>
        <rFont val="Calibri"/>
        <family val="2"/>
      </rPr>
      <t>LANSDOWNE GROVE</t>
    </r>
    <r>
      <rPr>
        <sz val="11"/>
        <rFont val="Calibri"/>
        <family val="2"/>
      </rPr>
      <t xml:space="preserve">
5066A – 8600 Ackroyd Road, Richmond, BC V6X 3G1
5066W – 8591 Westminster Highway, Richmond, BC V6X 3E2
</t>
    </r>
  </si>
  <si>
    <t>NW1899</t>
  </si>
  <si>
    <t>138 Units</t>
  </si>
  <si>
    <t>Five Star After-Hours: 604-720-5065
Carekater Hours
Monday – Tuesday 9:00am to 5:00pm
Wednesday – Friday 8:00am to 4:00pm
Miguel Zelaya Cell: 778-388-8066
Miguel Zelaya Office: 604-214-0447
lansdownegrove@ranchogroup.com</t>
  </si>
  <si>
    <r>
      <t xml:space="preserve">5092
</t>
    </r>
    <r>
      <rPr>
        <b/>
        <sz val="11"/>
        <color rgb="FFFF0000"/>
        <rFont val="Calibri"/>
        <family val="2"/>
        <scheme val="minor"/>
      </rPr>
      <t>NLM as of February 1, 2019
Colyvan Pacific</t>
    </r>
  </si>
  <si>
    <r>
      <t xml:space="preserve">LEG-IN-BOOT
</t>
    </r>
    <r>
      <rPr>
        <sz val="11"/>
        <rFont val="Calibri"/>
        <family val="2"/>
      </rPr>
      <t>658 Leg-in-Boot Square
Vancouver, BC
V5Z 4B3</t>
    </r>
    <r>
      <rPr>
        <b/>
        <sz val="11"/>
        <rFont val="Calibri"/>
        <family val="2"/>
      </rPr>
      <t xml:space="preserve">
</t>
    </r>
  </si>
  <si>
    <t>VR552</t>
  </si>
  <si>
    <t xml:space="preserve">18 Units
(19 strata lots)
</t>
  </si>
  <si>
    <r>
      <t>5317</t>
    </r>
    <r>
      <rPr>
        <b/>
        <sz val="11"/>
        <color rgb="FFFF0000"/>
        <rFont val="Calibri"/>
        <family val="2"/>
        <scheme val="minor"/>
      </rPr>
      <t xml:space="preserve">
NLM as of March 1, 2019
Re/Max Dwell</t>
    </r>
  </si>
  <si>
    <r>
      <t xml:space="preserve">ORO ON CAPITOL HILL (JOINT)
</t>
    </r>
    <r>
      <rPr>
        <sz val="11"/>
        <rFont val="Calibri"/>
        <family val="2"/>
      </rPr>
      <t>5688 Hastings Street
5656, 5658, 5680 and 5682, 5686 Hastings St.
Burnaby, BC V5B 1R4</t>
    </r>
    <r>
      <rPr>
        <b/>
        <sz val="11"/>
        <rFont val="Calibri"/>
        <family val="2"/>
      </rPr>
      <t xml:space="preserve">
</t>
    </r>
  </si>
  <si>
    <t>EPS1372</t>
  </si>
  <si>
    <t>18 Residential
5 Commercial</t>
  </si>
  <si>
    <r>
      <t xml:space="preserve">5318
</t>
    </r>
    <r>
      <rPr>
        <b/>
        <sz val="11"/>
        <color rgb="FFFF0000"/>
        <rFont val="Calibri"/>
        <family val="2"/>
        <scheme val="minor"/>
      </rPr>
      <t>NLM as of March 1, 2019
Re/Max Dwell</t>
    </r>
  </si>
  <si>
    <r>
      <t xml:space="preserve">ORO ON CAPITOL HILL (RESIDENTIAL)
</t>
    </r>
    <r>
      <rPr>
        <sz val="11"/>
        <rFont val="Calibri"/>
        <family val="2"/>
      </rPr>
      <t>5688 Hastings Street
Burnaby, BC V5B 1R4</t>
    </r>
    <r>
      <rPr>
        <b/>
        <sz val="11"/>
        <rFont val="Calibri"/>
        <family val="2"/>
      </rPr>
      <t xml:space="preserve">
</t>
    </r>
  </si>
  <si>
    <r>
      <t xml:space="preserve">5366 - 1
5366 - 2
</t>
    </r>
    <r>
      <rPr>
        <b/>
        <sz val="11"/>
        <color rgb="FFFF0000"/>
        <rFont val="Calibri"/>
        <family val="2"/>
        <scheme val="minor"/>
      </rPr>
      <t>NLM as of February 28, 2019
Campbell Strata Management</t>
    </r>
  </si>
  <si>
    <r>
      <rPr>
        <b/>
        <sz val="11"/>
        <rFont val="Calibri"/>
        <family val="2"/>
        <scheme val="minor"/>
      </rPr>
      <t>HUDSON'S LOFT</t>
    </r>
    <r>
      <rPr>
        <sz val="11"/>
        <rFont val="Calibri"/>
        <family val="2"/>
        <scheme val="minor"/>
      </rPr>
      <t xml:space="preserve">
Phase 1 - 3090 Gladwin Road
Abbotsford, BC V2T 0G2
Phase 2 - 3080 Gladwin Road
Abbotsford, BC V2T 0G3
</t>
    </r>
  </si>
  <si>
    <t>EPS3058</t>
  </si>
  <si>
    <t>134 Units, 2 Phases
Phase 1 - 67
Phase 2 - 67</t>
  </si>
  <si>
    <t>$150
effective September 1, 2016</t>
  </si>
  <si>
    <r>
      <t xml:space="preserve">5043
5043-20
</t>
    </r>
    <r>
      <rPr>
        <b/>
        <sz val="11"/>
        <color rgb="FFFF0000"/>
        <rFont val="Calibri"/>
        <family val="2"/>
        <scheme val="minor"/>
      </rPr>
      <t>NLM as of February 28, 2019
First Service Residential</t>
    </r>
  </si>
  <si>
    <r>
      <t xml:space="preserve">THE HAMILTON
</t>
    </r>
    <r>
      <rPr>
        <sz val="11"/>
        <rFont val="Calibri"/>
        <family val="2"/>
        <scheme val="minor"/>
      </rPr>
      <t>1178 Hamilton Street
Vancouver, BC
V6B 2S2</t>
    </r>
  </si>
  <si>
    <t>$100 Move Fee, $100 Deposit *Note-Tenants must provide a Form K before the elevator key is released.  Move fee should be collected from lawyer at undertaking, so only deposit is needed to be payed.</t>
  </si>
  <si>
    <r>
      <t xml:space="preserve">5265
</t>
    </r>
    <r>
      <rPr>
        <b/>
        <sz val="11"/>
        <color rgb="FFFF0000"/>
        <rFont val="Calibri"/>
        <family val="2"/>
        <scheme val="minor"/>
      </rPr>
      <t>NLM as of February 28, 2019
First Service Residential</t>
    </r>
  </si>
  <si>
    <t>THE HAMILTON - JOINT</t>
  </si>
  <si>
    <t>NORMAC
Year 3 of 3
Full Report</t>
  </si>
  <si>
    <r>
      <t xml:space="preserve">5309
</t>
    </r>
    <r>
      <rPr>
        <b/>
        <sz val="11"/>
        <color rgb="FFFF0000"/>
        <rFont val="Calibri"/>
        <family val="2"/>
        <scheme val="minor"/>
      </rPr>
      <t>NLM as of April 24, 2019
DPM</t>
    </r>
  </si>
  <si>
    <r>
      <t xml:space="preserve">ALDER CROSSING
</t>
    </r>
    <r>
      <rPr>
        <sz val="11"/>
        <rFont val="Calibri"/>
        <family val="2"/>
      </rPr>
      <t>2208, 2218, 2222, 2228, 2238, 2248 Alder Street
Vancouver, B.C.  V6H 2R9
1190 West 6th Avenue
Vancouver, B.C. 
V6H 1A4</t>
    </r>
  </si>
  <si>
    <t>EPS1633</t>
  </si>
  <si>
    <r>
      <t xml:space="preserve">5113
</t>
    </r>
    <r>
      <rPr>
        <b/>
        <sz val="9"/>
        <color rgb="FFFF0000"/>
        <rFont val="Calibri"/>
        <family val="2"/>
        <scheme val="minor"/>
      </rPr>
      <t>NLM as of May 31, 2019
DPM</t>
    </r>
  </si>
  <si>
    <r>
      <rPr>
        <b/>
        <sz val="9"/>
        <rFont val="Calibri"/>
        <family val="2"/>
      </rPr>
      <t>EDGEMONT VILLA</t>
    </r>
    <r>
      <rPr>
        <sz val="9"/>
        <rFont val="Calibri"/>
        <family val="2"/>
      </rPr>
      <t xml:space="preserve">
3151 Connaught Crescent
North Vancouver, BC V7R 4X6</t>
    </r>
  </si>
  <si>
    <t>BCS198</t>
  </si>
  <si>
    <r>
      <t xml:space="preserve">5296
</t>
    </r>
    <r>
      <rPr>
        <b/>
        <sz val="9"/>
        <color rgb="FFFF0000"/>
        <rFont val="Calibri"/>
        <family val="2"/>
        <scheme val="minor"/>
      </rPr>
      <t>NLM as of August 1, 2019
Korecki Real Estate</t>
    </r>
  </si>
  <si>
    <r>
      <t xml:space="preserve">CAMBER
</t>
    </r>
    <r>
      <rPr>
        <sz val="9"/>
        <rFont val="Calibri"/>
        <family val="2"/>
      </rPr>
      <t>7117 Elmbridge Way
Richmond, BC
V6X 0J2</t>
    </r>
  </si>
  <si>
    <t>EPS1205</t>
  </si>
  <si>
    <t xml:space="preserve">William Wang
Phone: 778-319-7117
Hours: Monday – Friday, 9am-5pm
Email: camber@ranchogroup.com
</t>
  </si>
  <si>
    <r>
      <rPr>
        <b/>
        <sz val="9"/>
        <rFont val="Calibri"/>
        <family val="2"/>
        <scheme val="minor"/>
      </rPr>
      <t xml:space="preserve">PENDRELL MANOR </t>
    </r>
    <r>
      <rPr>
        <sz val="9"/>
        <rFont val="Calibri"/>
        <family val="2"/>
        <scheme val="minor"/>
      </rPr>
      <t xml:space="preserve">
1772 Pendrell Street
Vancouver, BC
V6G 1T1
(New Owner as of September 16, 2013 is 1700 Pendrell Holdings)</t>
    </r>
  </si>
  <si>
    <t>19 Units</t>
  </si>
  <si>
    <t>Charlene Paine &amp; Jason Beke
Phone: 604-685-1013</t>
  </si>
  <si>
    <r>
      <t xml:space="preserve">5287
</t>
    </r>
    <r>
      <rPr>
        <b/>
        <sz val="9"/>
        <color rgb="FFFF0000"/>
        <rFont val="Calibri"/>
        <family val="2"/>
      </rPr>
      <t>NLM as of October 1, 2019
Quay Pacific</t>
    </r>
  </si>
  <si>
    <r>
      <t xml:space="preserve">THE ZONE - JOINT
</t>
    </r>
    <r>
      <rPr>
        <sz val="9"/>
        <rFont val="Calibri"/>
        <family val="2"/>
      </rPr>
      <t>1068 West Broadway 
Vancouver, BC
V6H 0A7</t>
    </r>
  </si>
  <si>
    <t>BCS3380</t>
  </si>
  <si>
    <t>93 Units</t>
  </si>
  <si>
    <t xml:space="preserve">Building Supervisor: Leo Peixoto
On site Hours (Monday to Friday): 
8:00 a.m. to 12:00 p.m. 
Telephone: 604-218-2963 (don't give out)
Email: leo@alliancecleans.com (don't give out)
Email: thezone@ranchogroup.com 
After Hours Emergency Assistance:
Contact Leo 604-218-2963 (NOT for Residents)
</t>
  </si>
  <si>
    <r>
      <t xml:space="preserve">5288
</t>
    </r>
    <r>
      <rPr>
        <b/>
        <sz val="9"/>
        <color rgb="FFFF0000"/>
        <rFont val="Calibri"/>
        <family val="2"/>
      </rPr>
      <t>NLM as of October 1, 2019
Quay Pacific</t>
    </r>
  </si>
  <si>
    <r>
      <t xml:space="preserve">THE ZONE - RESIDENTIAL
</t>
    </r>
    <r>
      <rPr>
        <sz val="9"/>
        <rFont val="Calibri"/>
        <family val="2"/>
      </rPr>
      <t>1068 West Broadway 
Vancouver, BC
V6H 0A7</t>
    </r>
  </si>
  <si>
    <t>89 Residential Units</t>
  </si>
  <si>
    <r>
      <t xml:space="preserve">5289
</t>
    </r>
    <r>
      <rPr>
        <b/>
        <sz val="9"/>
        <color rgb="FFFF0000"/>
        <rFont val="Calibri"/>
        <family val="2"/>
      </rPr>
      <t>NLM as of October 1, 2019
Quay Pacific</t>
    </r>
  </si>
  <si>
    <r>
      <t xml:space="preserve">THE ZONE - COMMERCIAL
</t>
    </r>
    <r>
      <rPr>
        <sz val="9"/>
        <rFont val="Calibri"/>
        <family val="2"/>
      </rPr>
      <t>1068 West Broadway 
Vancouver, BC
V6H 0A7</t>
    </r>
  </si>
  <si>
    <t>4 Commercial Units</t>
  </si>
  <si>
    <r>
      <rPr>
        <b/>
        <sz val="9"/>
        <rFont val="Calibri"/>
        <family val="2"/>
        <scheme val="minor"/>
      </rPr>
      <t>5572</t>
    </r>
    <r>
      <rPr>
        <b/>
        <sz val="9"/>
        <color rgb="FFFF0000"/>
        <rFont val="Calibri"/>
        <family val="2"/>
        <scheme val="minor"/>
      </rPr>
      <t xml:space="preserve">
NLM as of October 22, 2019
Houghton Realty</t>
    </r>
  </si>
  <si>
    <r>
      <t xml:space="preserve">BOULEVARD SOUTH
</t>
    </r>
    <r>
      <rPr>
        <sz val="9"/>
        <rFont val="Calibri"/>
        <family val="2"/>
      </rPr>
      <t>20852 78B Avenue
Langley, BC
V2Y 0X6</t>
    </r>
  </si>
  <si>
    <t>EPS5351</t>
  </si>
  <si>
    <t>Phase 1 - 18
Phase 2 - 19
Phase 3 - 7</t>
  </si>
  <si>
    <r>
      <t xml:space="preserve">5548
</t>
    </r>
    <r>
      <rPr>
        <b/>
        <sz val="9"/>
        <color rgb="FFFF0000"/>
        <rFont val="Calibri"/>
        <family val="2"/>
        <scheme val="minor"/>
      </rPr>
      <t>NLM as of October 23, 2019
Quay Pacific</t>
    </r>
  </si>
  <si>
    <r>
      <t xml:space="preserve">BOULEVARD NORTH
PHASES 1-5
</t>
    </r>
    <r>
      <rPr>
        <sz val="9"/>
        <rFont val="Calibri"/>
        <family val="2"/>
        <scheme val="minor"/>
      </rPr>
      <t>20849 78B Avenue 
Langley, BC
V2Y 0X6</t>
    </r>
    <r>
      <rPr>
        <b/>
        <sz val="9"/>
        <rFont val="Calibri"/>
        <family val="2"/>
        <scheme val="minor"/>
      </rPr>
      <t xml:space="preserve">
</t>
    </r>
  </si>
  <si>
    <t>EPS4919</t>
  </si>
  <si>
    <t>Phase 1 - 22
Phase 2 - 18
Phase 3 - 14
Phase 4 - 14
Phase 5 - 6</t>
  </si>
  <si>
    <r>
      <t xml:space="preserve">5116
</t>
    </r>
    <r>
      <rPr>
        <b/>
        <sz val="9"/>
        <color rgb="FFFF0000"/>
        <rFont val="Calibri"/>
        <family val="2"/>
      </rPr>
      <t>NLM as of October 31, 2019
Wynford Strata Management</t>
    </r>
    <r>
      <rPr>
        <b/>
        <sz val="9"/>
        <rFont val="Calibri"/>
        <family val="2"/>
      </rPr>
      <t xml:space="preserve">
</t>
    </r>
    <r>
      <rPr>
        <b/>
        <sz val="9"/>
        <color rgb="FFFF0000"/>
        <rFont val="Calibri"/>
        <family val="2"/>
      </rPr>
      <t>Attention: Andrew Fenton (Strata Agent)
815-1200 W 73rd Ave 
Vancouver, BC V6P 6G5</t>
    </r>
    <r>
      <rPr>
        <b/>
        <sz val="9"/>
        <rFont val="Calibri"/>
        <family val="2"/>
      </rPr>
      <t xml:space="preserve">
</t>
    </r>
  </si>
  <si>
    <r>
      <rPr>
        <b/>
        <sz val="9"/>
        <rFont val="Calibri"/>
        <family val="2"/>
      </rPr>
      <t>DOMUS</t>
    </r>
    <r>
      <rPr>
        <sz val="9"/>
        <rFont val="Calibri"/>
        <family val="2"/>
      </rPr>
      <t xml:space="preserve">
1055 Homer Street
Vancouver, BC
V3B 1G3
1047, 1049, 1051, 1053, 1057, 1059, 1061, 1063 Homer St</t>
    </r>
  </si>
  <si>
    <t>BCS528</t>
  </si>
  <si>
    <t>135 Units</t>
  </si>
  <si>
    <t>Res. Mgr: David Lam
domus@novuscom.net
lamd@allbrightservices.ca
Phone: 604-837-3806 
Cell: 604-818-9092 (do not give out)
Monday-Friday 12:30 pm to 4pm</t>
  </si>
  <si>
    <t>200
furnished $100</t>
  </si>
  <si>
    <r>
      <t xml:space="preserve">5577
</t>
    </r>
    <r>
      <rPr>
        <b/>
        <sz val="9"/>
        <color rgb="FFFF0000"/>
        <rFont val="Calibri"/>
        <family val="2"/>
      </rPr>
      <t>NLM as of November 1, 2019
Pacific Quorum</t>
    </r>
  </si>
  <si>
    <r>
      <t xml:space="preserve">THE LEVESON
</t>
    </r>
    <r>
      <rPr>
        <sz val="9"/>
        <rFont val="Calibri"/>
        <family val="2"/>
        <scheme val="minor"/>
      </rPr>
      <t>7828 Granville Street 
Vancouver, B.C.
V6P 4Z2</t>
    </r>
  </si>
  <si>
    <t>EPS4890</t>
  </si>
  <si>
    <t>39 Residential Units</t>
  </si>
  <si>
    <r>
      <t xml:space="preserve">5524
</t>
    </r>
    <r>
      <rPr>
        <b/>
        <sz val="9"/>
        <color rgb="FFFF0000"/>
        <rFont val="Calibri"/>
        <family val="2"/>
      </rPr>
      <t>NLM as of November 5, 2019
Blueprint Strata Management Inc.</t>
    </r>
  </si>
  <si>
    <r>
      <t xml:space="preserve">BROOKSIDE WALK
</t>
    </r>
    <r>
      <rPr>
        <sz val="9"/>
        <rFont val="Calibri"/>
        <family val="2"/>
        <scheme val="minor"/>
      </rPr>
      <t>6479 192nd Street
Surrey, BC V4N 6B4</t>
    </r>
  </si>
  <si>
    <t>EPS4373</t>
  </si>
  <si>
    <r>
      <t xml:space="preserve">5042
</t>
    </r>
    <r>
      <rPr>
        <b/>
        <sz val="9"/>
        <color rgb="FFFF0000"/>
        <rFont val="Calibri"/>
        <family val="2"/>
      </rPr>
      <t>NLM as of January 31, 2020
Homelife Advantage</t>
    </r>
  </si>
  <si>
    <r>
      <rPr>
        <b/>
        <sz val="9"/>
        <rFont val="Calibri"/>
        <family val="2"/>
      </rPr>
      <t>MOUNTAIN VIEW</t>
    </r>
    <r>
      <rPr>
        <sz val="9"/>
        <rFont val="Calibri"/>
        <family val="2"/>
      </rPr>
      <t xml:space="preserve">
36060 Old Yale Road
Abbotsford, BC
V3G 2E9</t>
    </r>
  </si>
  <si>
    <t>LMS67</t>
  </si>
  <si>
    <t>RANCHO VANCOUVER PROJECT LIST</t>
  </si>
  <si>
    <t>EPS4096</t>
  </si>
  <si>
    <t>244 Residential Units</t>
  </si>
  <si>
    <t>$300 (weekday)
$400 (weekend, unless the weekend day is the last or first day of a month, in which case the fee is $300),
 moving from one strata lot to another strata lot in the building is one-half of the amounts described above
 ($150/$200) move in fees and a $500 deposit must be paid prior to the move taking place. There is not move out fee.</t>
  </si>
  <si>
    <t xml:space="preserve">BFL Canada </t>
  </si>
  <si>
    <t>16 Residential Units</t>
  </si>
  <si>
    <t>33 Residential Units</t>
  </si>
  <si>
    <r>
      <t xml:space="preserve">THE RESIDENCES AT LYNN VALLEY (ABCD)
</t>
    </r>
    <r>
      <rPr>
        <sz val="9"/>
        <color theme="1"/>
        <rFont val="Calibri"/>
        <family val="2"/>
        <scheme val="minor"/>
      </rPr>
      <t>Building A - 2780 Valley Centre Avenue
			North Vancouver, BC
				V7J 0C4
Building B - 	2785 Library Lane
				North Vancouver, BC
				V7J 0C3
Building C -	1210 East 27th Street
				North Vancouver, BC
				V7J 0C5
Building D - 	2707 Library Lane 
				North Vancouver, BC</t>
    </r>
    <r>
      <rPr>
        <b/>
        <sz val="9"/>
        <color theme="1"/>
        <rFont val="Calibri"/>
        <family val="2"/>
        <scheme val="minor"/>
      </rPr>
      <t xml:space="preserve">
</t>
    </r>
    <r>
      <rPr>
        <sz val="9"/>
        <color theme="1"/>
        <rFont val="Calibri"/>
        <family val="2"/>
        <scheme val="minor"/>
      </rPr>
      <t>V7J 0C6</t>
    </r>
  </si>
  <si>
    <r>
      <t xml:space="preserve">CRESTON - JOINT
</t>
    </r>
    <r>
      <rPr>
        <sz val="9"/>
        <color theme="1"/>
        <rFont val="Calibri"/>
        <family val="2"/>
        <scheme val="minor"/>
      </rPr>
      <t>1411-1415 Bewicke  
V7M 3C7
715 15th St W               
V7M 1T2
North Vancouver, BC</t>
    </r>
  </si>
  <si>
    <t>EPS5766</t>
  </si>
  <si>
    <t xml:space="preserve">52 Residential Units
</t>
  </si>
  <si>
    <r>
      <t xml:space="preserve">CRESTON - RESIDENTIAL SECTION
</t>
    </r>
    <r>
      <rPr>
        <sz val="9"/>
        <color theme="1"/>
        <rFont val="Calibri"/>
        <family val="2"/>
      </rPr>
      <t>1411-1415 Bewicke  
V7M 3C7
715 15th St W               
V7M 1T2
North Vancouver, BC</t>
    </r>
  </si>
  <si>
    <t>52 Residential Units
3 Commercial Units
TOTAL = 55 Units</t>
  </si>
  <si>
    <r>
      <t xml:space="preserve">5561
</t>
    </r>
    <r>
      <rPr>
        <b/>
        <sz val="9"/>
        <color rgb="FFFF0000"/>
        <rFont val="Calibri"/>
        <family val="2"/>
        <scheme val="minor"/>
      </rPr>
      <t>NLM as of July 1, 2020
FirstService Residential</t>
    </r>
  </si>
  <si>
    <r>
      <t xml:space="preserve">5562
</t>
    </r>
    <r>
      <rPr>
        <b/>
        <sz val="9"/>
        <color rgb="FFFF0000"/>
        <rFont val="Calibri"/>
        <family val="2"/>
        <scheme val="minor"/>
      </rPr>
      <t xml:space="preserve">
NLM as of July 1, 2020
FirstService Residential</t>
    </r>
  </si>
  <si>
    <r>
      <t xml:space="preserve">5194
</t>
    </r>
    <r>
      <rPr>
        <b/>
        <sz val="9"/>
        <color rgb="FFFF0000"/>
        <rFont val="Calibri"/>
        <family val="2"/>
        <scheme val="minor"/>
      </rPr>
      <t>NLM as of July 15, 2020
ECM Strata Management Ltd.</t>
    </r>
  </si>
  <si>
    <r>
      <t xml:space="preserve">5586
</t>
    </r>
    <r>
      <rPr>
        <b/>
        <sz val="9"/>
        <color rgb="FFFF0000"/>
        <rFont val="Calibri"/>
        <family val="2"/>
      </rPr>
      <t xml:space="preserve">
NLM as of July 31, 2020
Colyvan Pacific</t>
    </r>
  </si>
  <si>
    <r>
      <t xml:space="preserve">5589
</t>
    </r>
    <r>
      <rPr>
        <b/>
        <sz val="9"/>
        <color rgb="FFFF0000"/>
        <rFont val="Calibri"/>
        <family val="2"/>
      </rPr>
      <t>NLM as of July 31, 2020
604 Real Estate</t>
    </r>
  </si>
  <si>
    <r>
      <t xml:space="preserve">BASALT
</t>
    </r>
    <r>
      <rPr>
        <sz val="9"/>
        <color theme="1"/>
        <rFont val="Calibri"/>
        <family val="2"/>
        <scheme val="minor"/>
      </rPr>
      <t xml:space="preserve">5058 Cambie Street
Vancouver, B.C. 
V5Z 2Z5
</t>
    </r>
  </si>
  <si>
    <t>EPS6589</t>
  </si>
  <si>
    <t xml:space="preserve">51 Residential Units
</t>
  </si>
  <si>
    <r>
      <t xml:space="preserve">CAPITOL
</t>
    </r>
    <r>
      <rPr>
        <sz val="9"/>
        <color theme="1"/>
        <rFont val="Calibri"/>
        <family val="2"/>
        <scheme val="minor"/>
      </rPr>
      <t>1001-1021 Quebec Street 
1012-1020 Auckland Street 
New Westminster, BC 
V3M 0M3</t>
    </r>
    <r>
      <rPr>
        <b/>
        <sz val="9"/>
        <color theme="1"/>
        <rFont val="Calibri"/>
        <family val="2"/>
        <scheme val="minor"/>
      </rPr>
      <t xml:space="preserve">
</t>
    </r>
  </si>
  <si>
    <r>
      <t xml:space="preserve">KINGS CROSSING III
</t>
    </r>
    <r>
      <rPr>
        <sz val="9"/>
        <color theme="1"/>
        <rFont val="Calibri"/>
        <family val="2"/>
        <scheme val="minor"/>
      </rPr>
      <t xml:space="preserve">7303 Noble Lane 
Burnaby, BC
V3N 0H2
</t>
    </r>
  </si>
  <si>
    <t>EPS4444</t>
  </si>
  <si>
    <t>231 Residential Units</t>
  </si>
  <si>
    <r>
      <t xml:space="preserve">QUALICO VANCOUVER
</t>
    </r>
    <r>
      <rPr>
        <sz val="9"/>
        <color theme="1"/>
        <rFont val="Calibri"/>
        <family val="2"/>
        <scheme val="minor"/>
      </rPr>
      <t xml:space="preserve">17720 65A Avenue
Surrey, B.C. V3S 5N4
</t>
    </r>
    <r>
      <rPr>
        <b/>
        <sz val="9"/>
        <color theme="1"/>
        <rFont val="Calibri"/>
        <family val="2"/>
        <scheme val="minor"/>
      </rPr>
      <t xml:space="preserve">
</t>
    </r>
  </si>
  <si>
    <t>BCS2869</t>
  </si>
  <si>
    <t>192 Residential Units</t>
  </si>
  <si>
    <t>EPS5182</t>
  </si>
  <si>
    <t>131 Residential Units
4 Commercial Units</t>
  </si>
  <si>
    <t xml:space="preserve">131 Residential Units
</t>
  </si>
  <si>
    <t>EPS6372</t>
  </si>
  <si>
    <t>31 TH Units</t>
  </si>
  <si>
    <r>
      <t xml:space="preserve">5588
</t>
    </r>
    <r>
      <rPr>
        <b/>
        <sz val="9"/>
        <color rgb="FFFF0000"/>
        <rFont val="Calibri"/>
        <family val="2"/>
      </rPr>
      <t>NLM as of September 1st, 2020
Korecki Real Estate Services Inc.
605-1166 Alberni Street, Vancouver, BC, V6E 3Z3
P: 604.233.7772 | W: info@korecki.ca</t>
    </r>
    <r>
      <rPr>
        <b/>
        <sz val="9"/>
        <color theme="1"/>
        <rFont val="Calibri"/>
        <family val="2"/>
      </rPr>
      <t xml:space="preserve"> </t>
    </r>
  </si>
  <si>
    <r>
      <t xml:space="preserve">ORCHID - JOINT
</t>
    </r>
    <r>
      <rPr>
        <sz val="9"/>
        <color theme="1"/>
        <rFont val="Calibri"/>
        <family val="2"/>
        <scheme val="minor"/>
      </rPr>
      <t xml:space="preserve">5580 No.3 Road 
Richmond, B.C. 
V6X 0R8
</t>
    </r>
  </si>
  <si>
    <t>4/1/2015
NLM as of August 31, 2020</t>
  </si>
  <si>
    <t>$250.00 (Tenant Only)</t>
  </si>
  <si>
    <r>
      <t xml:space="preserve">CONCORD GARDENS
</t>
    </r>
    <r>
      <rPr>
        <sz val="9"/>
        <color rgb="FFFF0000"/>
        <rFont val="Calibri"/>
        <family val="2"/>
      </rPr>
      <t>West Tower
8833 Hazelbridge Way
Richmond, BC V6X 0N3</t>
    </r>
    <r>
      <rPr>
        <b/>
        <sz val="9"/>
        <color rgb="FFFF0000"/>
        <rFont val="Calibri"/>
        <family val="2"/>
      </rPr>
      <t xml:space="preserve">
</t>
    </r>
    <r>
      <rPr>
        <sz val="9"/>
        <color rgb="FFFF0000"/>
        <rFont val="Calibri"/>
        <family val="2"/>
      </rPr>
      <t>North Tower
3131 Ketcheson Road
Richmond, BC V6X 0N4</t>
    </r>
  </si>
  <si>
    <t>Building Staff/BM 
Javier Venegas 
jvenegas@mintclean.ca (do not give out)
604-644-8240 (do not give out)</t>
  </si>
  <si>
    <r>
      <t xml:space="preserve">ORCHID - RESIDENTIAL SECTION
</t>
    </r>
    <r>
      <rPr>
        <sz val="9"/>
        <color theme="1"/>
        <rFont val="Calibri"/>
        <family val="2"/>
        <scheme val="minor"/>
      </rPr>
      <t xml:space="preserve">5580 No.3 Road 
Richmond, B.C. 
V6X 0R8
</t>
    </r>
  </si>
  <si>
    <r>
      <t xml:space="preserve">ORCHID - COMMERCIAL SECTION
</t>
    </r>
    <r>
      <rPr>
        <sz val="9"/>
        <color theme="1"/>
        <rFont val="Calibri"/>
        <family val="2"/>
        <scheme val="minor"/>
      </rPr>
      <t xml:space="preserve">5580 No.3 Road 
Richmond, B.C. 
V6X 0R8
</t>
    </r>
  </si>
  <si>
    <t xml:space="preserve">Building Supervisor 
Hector Aguilar 
778-879-1522 (do not give out)
Concierge: 604-225-8561 imperialconcierge@ranchogroup.com
</t>
  </si>
  <si>
    <t>LMS1863</t>
  </si>
  <si>
    <t>276 Units</t>
  </si>
  <si>
    <t xml:space="preserve">Building Manager: Kelvin Chau
604-789-7960 (DO NOT GIVE OUT)
Building Manager: Martin
(604) 908-8286 (DO NOT GIVE OUT)
Emergency call: 
Javier Venegas
604-644-8240
Daniel Mota
778-240-1358
</t>
  </si>
  <si>
    <t>Building Staff/BM 
Javier Venegas 
Operation Manager
MintClean Building Maintenance
604-644-8240 
jvenegas@mintclean.ca (do not give out)
604-644-8240 (do not give out)</t>
  </si>
  <si>
    <r>
      <t xml:space="preserve">KING EDWARD VILLAGE II
</t>
    </r>
    <r>
      <rPr>
        <sz val="9"/>
        <color theme="1"/>
        <rFont val="Calibri"/>
        <family val="2"/>
      </rPr>
      <t xml:space="preserve">4028 Knight Street
1432 Kingsway
Vancouver, BC
V5N5Y8 </t>
    </r>
  </si>
  <si>
    <t>Hub International</t>
  </si>
  <si>
    <t>EPS6587</t>
  </si>
  <si>
    <t>Phase One – 22 Units 
Phase Two – 34 Units 
Phase Three – 27 Units 
TOTAL - 83 Units</t>
  </si>
  <si>
    <r>
      <t xml:space="preserve">ALOHA ESTATES
</t>
    </r>
    <r>
      <rPr>
        <sz val="9"/>
        <color theme="1"/>
        <rFont val="Calibri"/>
        <family val="2"/>
        <scheme val="minor"/>
      </rPr>
      <t xml:space="preserve">7177-194A Street
Surrey, B.C.
V4N 6V6
</t>
    </r>
  </si>
  <si>
    <t>NORMAL, PHASED</t>
  </si>
  <si>
    <t>Building Manager: Zoey Fruhbrodt 
cambiestar@ranchogroup.com
Phone: 604-992-2348 (ok to give out)</t>
  </si>
  <si>
    <r>
      <rPr>
        <b/>
        <sz val="9"/>
        <rFont val="Calibri"/>
        <family val="2"/>
      </rPr>
      <t>STONECROFT ESTATES</t>
    </r>
    <r>
      <rPr>
        <sz val="9"/>
        <rFont val="Calibri"/>
        <family val="2"/>
      </rPr>
      <t xml:space="preserve">
2350 Westerly Street
Abbotsford, BC
V2T 6T7</t>
    </r>
  </si>
  <si>
    <r>
      <t xml:space="preserve">TATLOW HOMES - JOINT
</t>
    </r>
    <r>
      <rPr>
        <sz val="9"/>
        <color theme="1"/>
        <rFont val="Calibri"/>
        <family val="2"/>
      </rPr>
      <t xml:space="preserve">1633 Tatlow Avenue
North Vancouver, B.C.
V7P 2Z8
</t>
    </r>
    <r>
      <rPr>
        <b/>
        <sz val="9"/>
        <color theme="1"/>
        <rFont val="Calibri"/>
        <family val="2"/>
      </rPr>
      <t>Commercial:</t>
    </r>
    <r>
      <rPr>
        <sz val="9"/>
        <color theme="1"/>
        <rFont val="Calibri"/>
        <family val="2"/>
      </rPr>
      <t xml:space="preserve">
1700 Marine Drive
North Vancouver, B.C.
V7P 1V2</t>
    </r>
  </si>
  <si>
    <r>
      <t xml:space="preserve">TATLOW HOMES - RESIDENTIAL SECTION
</t>
    </r>
    <r>
      <rPr>
        <sz val="9"/>
        <color theme="1"/>
        <rFont val="Calibri"/>
        <family val="2"/>
      </rPr>
      <t>1633 Tatlow Avenue
North Vancouver, B.C.</t>
    </r>
    <r>
      <rPr>
        <b/>
        <sz val="9"/>
        <color theme="1"/>
        <rFont val="Calibri"/>
        <family val="2"/>
      </rPr>
      <t xml:space="preserve">
</t>
    </r>
    <r>
      <rPr>
        <sz val="9"/>
        <color theme="1"/>
        <rFont val="Calibri"/>
        <family val="2"/>
      </rPr>
      <t>V7P 2Z8</t>
    </r>
  </si>
  <si>
    <t>EPS7084</t>
  </si>
  <si>
    <t>SECTIONED STRATA</t>
  </si>
  <si>
    <t>Residential - 102 Units
Commercial - 5 Units
TOTAL - 107 Units</t>
  </si>
  <si>
    <t>Residential - 102 Units</t>
  </si>
  <si>
    <r>
      <t xml:space="preserve">STRATHMORE LANE
</t>
    </r>
    <r>
      <rPr>
        <sz val="9"/>
        <rFont val="Calibri"/>
        <family val="2"/>
        <scheme val="minor"/>
      </rPr>
      <t>3388 Morrey Court (Apartments)
3368 Morrey Court (Townhomes)
3379 Morrey Court (Townhomes)
Burnaby, BC
V3J 7Y5</t>
    </r>
  </si>
  <si>
    <r>
      <t xml:space="preserve">RIVER
</t>
    </r>
    <r>
      <rPr>
        <sz val="9"/>
        <color theme="1"/>
        <rFont val="Calibri"/>
        <family val="2"/>
        <scheme val="minor"/>
      </rPr>
      <t xml:space="preserve">188 Wood Street
New Westminster, BC
V3M 5A4
</t>
    </r>
  </si>
  <si>
    <t>EPS3793</t>
  </si>
  <si>
    <t>NORMAL, TH</t>
  </si>
  <si>
    <t>65 TH</t>
  </si>
  <si>
    <t>LMS3174</t>
  </si>
  <si>
    <t>Commercial Units - 5</t>
  </si>
  <si>
    <t>None</t>
  </si>
  <si>
    <r>
      <t xml:space="preserve">LOWER LONSDALE SYNERGY I
</t>
    </r>
    <r>
      <rPr>
        <sz val="9"/>
        <rFont val="Calibri"/>
        <family val="2"/>
        <scheme val="minor"/>
      </rPr>
      <t>137-149 St. Patrick’s Avenue
North Vancouver, B.C. 
V7L 0E7</t>
    </r>
    <r>
      <rPr>
        <b/>
        <sz val="9"/>
        <rFont val="Calibri"/>
        <family val="2"/>
        <scheme val="minor"/>
      </rPr>
      <t xml:space="preserve">
</t>
    </r>
  </si>
  <si>
    <t>Andy Liu
andy@alllcare.com
604-618-2968 (do not give out)</t>
  </si>
  <si>
    <r>
      <t xml:space="preserve">PORTSIDE
</t>
    </r>
    <r>
      <rPr>
        <sz val="9"/>
        <color theme="1"/>
        <rFont val="Calibri"/>
        <family val="2"/>
        <scheme val="minor"/>
      </rPr>
      <t xml:space="preserve">488 Furness Street
New Westminster, BC
V3M 0M1
</t>
    </r>
  </si>
  <si>
    <t>EPS6825</t>
  </si>
  <si>
    <t>PHASED STRATA, TH</t>
  </si>
  <si>
    <t>Phase 1 - 24
Phase 2 - 19
Phase 3 - 4
Phase 4 - 24
Phase 5 - 23
Phase 6 - 19
Phase 7 - 12
Phase 8 - 23
Phase 9 - 22
170 Total Units</t>
  </si>
  <si>
    <t>$125 administrative fee
$150 surcharge for Sunday moves</t>
  </si>
  <si>
    <t>Building Manager:  Ifraz Ali  
Tel: 778-968-2784
Alt Tel: 604-218-5903
Ifraz.ali7@outlook.com</t>
  </si>
  <si>
    <r>
      <t xml:space="preserve">FOREST'S EDGE 3 &amp; 4 / EVELYN (Parcel 7)
</t>
    </r>
    <r>
      <rPr>
        <sz val="9"/>
        <color theme="3" tint="0.39997558519241921"/>
        <rFont val="Calibri"/>
        <family val="2"/>
      </rPr>
      <t xml:space="preserve">East Tower – 768 Arthur Erickson Place
West Tower – 788 Arthur Erickson Place
Townhouses:
770, 772, 774, 776, 778 Arthur Erickson Place
West Vancouver, B.C.
V7T 0B6
</t>
    </r>
    <r>
      <rPr>
        <b/>
        <sz val="9"/>
        <color theme="3" tint="0.39997558519241921"/>
        <rFont val="Calibri"/>
        <family val="2"/>
      </rPr>
      <t xml:space="preserve">
</t>
    </r>
  </si>
  <si>
    <t>EPS5391</t>
  </si>
  <si>
    <t>271 Units</t>
  </si>
  <si>
    <t>EPS6944</t>
  </si>
  <si>
    <t>226 Units</t>
  </si>
  <si>
    <t>AIRSPACE PARCEL</t>
  </si>
  <si>
    <r>
      <t xml:space="preserve">TWO RIVER PARK PLACE
</t>
    </r>
    <r>
      <rPr>
        <sz val="9"/>
        <color theme="1"/>
        <rFont val="Calibri"/>
        <family val="2"/>
        <scheme val="minor"/>
      </rPr>
      <t xml:space="preserve">5508 Hollybridge Way V7C 0C7 
6900 Pearson Way V7C 0C9
Richmond, BC
</t>
    </r>
  </si>
  <si>
    <r>
      <t xml:space="preserve">THE WELWYN
</t>
    </r>
    <r>
      <rPr>
        <sz val="9"/>
        <color theme="1"/>
        <rFont val="Calibri"/>
        <family val="2"/>
        <scheme val="minor"/>
      </rPr>
      <t>4413-4429 Welwyn Street
Vancouver, BC
V5N 3Z3</t>
    </r>
  </si>
  <si>
    <r>
      <t xml:space="preserve">FORTE - RESIDENTIAL SECTION
</t>
    </r>
    <r>
      <rPr>
        <sz val="9"/>
        <color theme="1"/>
        <rFont val="Calibri"/>
        <family val="2"/>
        <scheme val="minor"/>
      </rPr>
      <t xml:space="preserve">4477 Hastings Street
4473, 4481, 4485, 4489, 4493, 4499
Hastings Street
Burnaby
</t>
    </r>
  </si>
  <si>
    <r>
      <t xml:space="preserve">FORTE - COMMERCIAL SECTION 
</t>
    </r>
    <r>
      <rPr>
        <sz val="9"/>
        <color theme="1"/>
        <rFont val="Calibri"/>
        <family val="2"/>
        <scheme val="minor"/>
      </rPr>
      <t xml:space="preserve">4477 Hastings Street
4473, 4481, 4485, 4489, 4493, 4499
Hastings Street
Burnaby
</t>
    </r>
  </si>
  <si>
    <t>34 Residential 
6 Commercial 
Total = 40 Units</t>
  </si>
  <si>
    <t>EPS7242</t>
  </si>
  <si>
    <t xml:space="preserve">78 Units </t>
  </si>
  <si>
    <t>NORMAL STRATA</t>
  </si>
  <si>
    <t>EPS6763</t>
  </si>
  <si>
    <t>EPS6791</t>
  </si>
  <si>
    <r>
      <t xml:space="preserve">THE PEAK
</t>
    </r>
    <r>
      <rPr>
        <sz val="9"/>
        <color theme="1"/>
        <rFont val="Calibri"/>
        <family val="2"/>
        <scheme val="minor"/>
      </rPr>
      <t xml:space="preserve">8850 University Crescent
Burnaby, B.C.
V5A 0C8
</t>
    </r>
    <r>
      <rPr>
        <b/>
        <sz val="9"/>
        <color theme="1"/>
        <rFont val="Calibri"/>
        <family val="2"/>
        <scheme val="minor"/>
      </rPr>
      <t xml:space="preserve">
</t>
    </r>
  </si>
  <si>
    <t>EPS5447</t>
  </si>
  <si>
    <r>
      <t xml:space="preserve">THE ELLIOT
</t>
    </r>
    <r>
      <rPr>
        <sz val="9"/>
        <color theme="1"/>
        <rFont val="Calibri"/>
        <family val="2"/>
        <scheme val="minor"/>
      </rPr>
      <t xml:space="preserve">45562 Airport Road
Chilliwack, BC
V2P 0J8
</t>
    </r>
  </si>
  <si>
    <r>
      <t xml:space="preserve">PERLA (JOINT)
</t>
    </r>
    <r>
      <rPr>
        <sz val="9"/>
        <rFont val="Calibri"/>
        <family val="2"/>
      </rPr>
      <t>8100 Saba Road V6Y 4H1
6331 Buswell Street V6Y 4H2
Richmond, BC</t>
    </r>
  </si>
  <si>
    <r>
      <t xml:space="preserve">5592
</t>
    </r>
    <r>
      <rPr>
        <b/>
        <sz val="9"/>
        <color rgb="FFFF0000"/>
        <rFont val="Calibri"/>
        <family val="2"/>
        <scheme val="minor"/>
      </rPr>
      <t>NLM - December 31st, 2020
FSR</t>
    </r>
  </si>
  <si>
    <r>
      <t xml:space="preserve">5640
</t>
    </r>
    <r>
      <rPr>
        <b/>
        <sz val="9"/>
        <color rgb="FFFF0000"/>
        <rFont val="Calibri"/>
        <family val="2"/>
        <scheme val="minor"/>
      </rPr>
      <t>Newstar: 5639</t>
    </r>
  </si>
  <si>
    <r>
      <t xml:space="preserve">5641
</t>
    </r>
    <r>
      <rPr>
        <b/>
        <sz val="9"/>
        <color rgb="FFFF0000"/>
        <rFont val="Calibri"/>
        <family val="2"/>
        <scheme val="minor"/>
      </rPr>
      <t>Newstar: 5639-C</t>
    </r>
  </si>
  <si>
    <r>
      <t xml:space="preserve">IVY ON THE PARK 
</t>
    </r>
    <r>
      <rPr>
        <sz val="9"/>
        <color theme="1"/>
        <rFont val="Calibri"/>
        <family val="2"/>
      </rPr>
      <t xml:space="preserve">5629 Birney Avenue (Strata Lots 46-226)
5681 Birney Avenue (Strata Lots 1-45)
Vancouver, B.C.
V6S 0L5 
</t>
    </r>
    <r>
      <rPr>
        <b/>
        <sz val="9"/>
        <color theme="1"/>
        <rFont val="Calibri"/>
        <family val="2"/>
      </rPr>
      <t xml:space="preserve">
</t>
    </r>
  </si>
  <si>
    <r>
      <t xml:space="preserve">5045
</t>
    </r>
    <r>
      <rPr>
        <b/>
        <sz val="9"/>
        <color rgb="FFFF0000"/>
        <rFont val="Calibri"/>
        <family val="2"/>
      </rPr>
      <t>NLM - August 31, 2020
FSR</t>
    </r>
  </si>
  <si>
    <r>
      <rPr>
        <b/>
        <sz val="9"/>
        <rFont val="Calibri"/>
        <family val="2"/>
      </rPr>
      <t>5053</t>
    </r>
    <r>
      <rPr>
        <b/>
        <sz val="9"/>
        <color rgb="FFFF0000"/>
        <rFont val="Calibri"/>
        <family val="2"/>
      </rPr>
      <t xml:space="preserve">
NLM as of September 30, 2020
First Service Residential</t>
    </r>
  </si>
  <si>
    <r>
      <t xml:space="preserve">5599
</t>
    </r>
    <r>
      <rPr>
        <b/>
        <sz val="9"/>
        <color rgb="FFFF0000"/>
        <rFont val="Calibri"/>
        <family val="2"/>
      </rPr>
      <t>NLM as of January 31st, 2021</t>
    </r>
    <r>
      <rPr>
        <b/>
        <sz val="9"/>
        <color theme="1"/>
        <rFont val="Calibri"/>
        <family val="2"/>
      </rPr>
      <t xml:space="preserve">
</t>
    </r>
    <r>
      <rPr>
        <b/>
        <sz val="9"/>
        <color rgb="FFFF0000"/>
        <rFont val="Calibri"/>
        <family val="2"/>
      </rPr>
      <t>Korecki Real Estate</t>
    </r>
  </si>
  <si>
    <r>
      <t xml:space="preserve">THE AUDLEY
</t>
    </r>
    <r>
      <rPr>
        <sz val="9"/>
        <color theme="1"/>
        <rFont val="Calibri"/>
        <family val="2"/>
        <scheme val="minor"/>
      </rPr>
      <t xml:space="preserve">5415 Brydon Crescent
Langley, BC
V3A 0N4
</t>
    </r>
    <r>
      <rPr>
        <b/>
        <sz val="9"/>
        <color theme="1"/>
        <rFont val="Calibri"/>
        <family val="2"/>
        <scheme val="minor"/>
      </rPr>
      <t xml:space="preserve">
</t>
    </r>
  </si>
  <si>
    <r>
      <t xml:space="preserve">FORTE - JOINT
</t>
    </r>
    <r>
      <rPr>
        <sz val="9"/>
        <color theme="1"/>
        <rFont val="Calibri"/>
        <family val="2"/>
      </rPr>
      <t xml:space="preserve">4477 Hastings Street
4473, 4481, 4485, 4489, 4493, 4499
Hastings Street
Burnaby
</t>
    </r>
  </si>
  <si>
    <t xml:space="preserve">34 Residential </t>
  </si>
  <si>
    <t xml:space="preserve">6 Commercial </t>
  </si>
  <si>
    <r>
      <t xml:space="preserve">THE WESLEY
</t>
    </r>
    <r>
      <rPr>
        <sz val="9"/>
        <color theme="1"/>
        <rFont val="Calibri"/>
        <family val="2"/>
      </rPr>
      <t xml:space="preserve">5485 Brydon Crescent
Langley, BC
V3A 0N5
</t>
    </r>
  </si>
  <si>
    <t>Move in fee $200, furnished suite $100</t>
  </si>
  <si>
    <t>150.00
Additional fees: Move fee plus $125 on weekends / plus time and a half on stat holidays</t>
  </si>
  <si>
    <t>HUB (Airport Road, Chilliwack branch)</t>
  </si>
  <si>
    <t>Hub International (32988 South Fraswer Way branch)</t>
  </si>
  <si>
    <r>
      <t xml:space="preserve">5347
5347-10 (Residential)
5347-20 (Commercial)
</t>
    </r>
    <r>
      <rPr>
        <b/>
        <sz val="9"/>
        <color rgb="FFFF0000"/>
        <rFont val="Calibri"/>
        <family val="2"/>
      </rPr>
      <t>NLM as of November 30, 2020</t>
    </r>
    <r>
      <rPr>
        <b/>
        <sz val="9"/>
        <color rgb="FFFF0000"/>
        <rFont val="Calibri"/>
        <family val="2"/>
      </rPr>
      <t xml:space="preserve">
Gateway</t>
    </r>
  </si>
  <si>
    <r>
      <t xml:space="preserve">5511
</t>
    </r>
    <r>
      <rPr>
        <b/>
        <sz val="9"/>
        <color rgb="FFFF0000"/>
        <rFont val="Calibri"/>
        <family val="2"/>
      </rPr>
      <t>NLM as of March 31, 2021
Dwell Property Mgmt</t>
    </r>
  </si>
  <si>
    <r>
      <t xml:space="preserve">E40TH
</t>
    </r>
    <r>
      <rPr>
        <sz val="9"/>
        <color theme="1"/>
        <rFont val="Calibri"/>
        <family val="2"/>
        <scheme val="minor"/>
      </rPr>
      <t>2551 East 40th Avenue 
Vancouver, B.C. 
V5R 2V8</t>
    </r>
    <r>
      <rPr>
        <b/>
        <sz val="9"/>
        <color theme="1"/>
        <rFont val="Calibri"/>
        <family val="2"/>
        <scheme val="minor"/>
      </rPr>
      <t xml:space="preserve">
</t>
    </r>
  </si>
  <si>
    <t>EPS6846</t>
  </si>
  <si>
    <r>
      <t xml:space="preserve">5057
</t>
    </r>
    <r>
      <rPr>
        <b/>
        <sz val="9"/>
        <color rgb="FFFF0000"/>
        <rFont val="Calibri"/>
        <family val="2"/>
      </rPr>
      <t>NLM as of May 4, 2021
Century 21 Prudential Estates</t>
    </r>
  </si>
  <si>
    <r>
      <t xml:space="preserve">MACKENZIE PARK 
</t>
    </r>
    <r>
      <rPr>
        <sz val="9"/>
        <color theme="1"/>
        <rFont val="Calibri"/>
        <family val="2"/>
        <scheme val="minor"/>
      </rPr>
      <t>2356 Welcher Avenue
Port Coquitlam
V3C 0S7</t>
    </r>
  </si>
  <si>
    <t>EPS7559</t>
  </si>
  <si>
    <t>40 Units</t>
  </si>
  <si>
    <r>
      <t xml:space="preserve">MODA
</t>
    </r>
    <r>
      <rPr>
        <sz val="9"/>
        <color theme="1"/>
        <rFont val="Calibri"/>
        <family val="2"/>
        <scheme val="minor"/>
      </rPr>
      <t>6658 Dow Avenue 
Burnaby, BC 
V5H 0C7</t>
    </r>
  </si>
  <si>
    <t>EPS2219</t>
  </si>
  <si>
    <r>
      <t xml:space="preserve">PROMENADE - JOINT
</t>
    </r>
    <r>
      <rPr>
        <sz val="9"/>
        <color theme="1"/>
        <rFont val="Calibri"/>
        <family val="2"/>
        <scheme val="minor"/>
      </rPr>
      <t>118 Carrie Cates Court 
North Vancouver, B.C. 
V7M 0G6</t>
    </r>
  </si>
  <si>
    <t>EPS6231</t>
  </si>
  <si>
    <t>117 - Residential 
14 - Commercial 
131 - TOTAL UNITS</t>
  </si>
  <si>
    <r>
      <t xml:space="preserve">PROMENADE - RESIDENTIAL SECTION
</t>
    </r>
    <r>
      <rPr>
        <sz val="9"/>
        <color theme="1"/>
        <rFont val="Calibri"/>
        <family val="2"/>
        <scheme val="minor"/>
      </rPr>
      <t>118 Carrie Cates Court 
North Vancouver, B.C. 
V7M 0G6</t>
    </r>
  </si>
  <si>
    <t>117 Residential Units</t>
  </si>
  <si>
    <t>14 Commercial Units</t>
  </si>
  <si>
    <r>
      <t xml:space="preserve">ETOILE 1
</t>
    </r>
    <r>
      <rPr>
        <sz val="9"/>
        <color theme="1"/>
        <rFont val="Calibri"/>
        <family val="2"/>
        <scheme val="minor"/>
      </rPr>
      <t>5333 Goring Street
5335, 5339, 5351, 5355 Goring Steet
Burnaby, BC
V5B 0B6</t>
    </r>
  </si>
  <si>
    <t>EPS7167</t>
  </si>
  <si>
    <t>223 Residential Units</t>
  </si>
  <si>
    <t>EPS7168</t>
  </si>
  <si>
    <t>175 Residential Units</t>
  </si>
  <si>
    <r>
      <t xml:space="preserve">ETOILE 2
</t>
    </r>
    <r>
      <rPr>
        <sz val="9"/>
        <color theme="1"/>
        <rFont val="Calibri"/>
        <family val="2"/>
        <scheme val="minor"/>
      </rPr>
      <t>5311 Goring Street
2368, 2378, 2382, 2388 Douglas Road
Burnaby, BC
V5B 0B5</t>
    </r>
  </si>
  <si>
    <t>EPS2669</t>
  </si>
  <si>
    <t>547 Residential Units</t>
  </si>
  <si>
    <t>EPS7150</t>
  </si>
  <si>
    <t>EPS7550</t>
  </si>
  <si>
    <t>43 Residential Units</t>
  </si>
  <si>
    <r>
      <t xml:space="preserve">PARK HOUSE SOUTH
</t>
    </r>
    <r>
      <rPr>
        <sz val="9"/>
        <color theme="1"/>
        <rFont val="Calibri"/>
        <family val="2"/>
        <scheme val="minor"/>
      </rPr>
      <t>477 W 59th Avenue
Vancouver BC
V5X 1X4</t>
    </r>
  </si>
  <si>
    <t>EPS7549</t>
  </si>
  <si>
    <t>SD</t>
  </si>
  <si>
    <t>Owner's Own insurance
Westland Insurance</t>
  </si>
  <si>
    <r>
      <t xml:space="preserve">35 PARK WEST
</t>
    </r>
    <r>
      <rPr>
        <sz val="9"/>
        <color theme="1"/>
        <rFont val="Calibri"/>
        <family val="2"/>
      </rPr>
      <t xml:space="preserve">BLDG A – 4963 Cambie Street 
BLDG B – 5033 Cambie Street
BLDG C – 5077 Cambie Street 
Vancouver, B.C. </t>
    </r>
  </si>
  <si>
    <r>
      <t xml:space="preserve">ALEXANDRA COURT 
</t>
    </r>
    <r>
      <rPr>
        <sz val="9"/>
        <color theme="1"/>
        <rFont val="Calibri"/>
        <family val="2"/>
        <scheme val="minor"/>
      </rPr>
      <t xml:space="preserve">9311 Alexandra Road V6X 0L8 
9399 Alexandra Road V6X 0L7 
9366 Tomicki Avenue V6X 0N9 
9388 Tomicki Avenue V6X 0P1 
Richmond, B.C. </t>
    </r>
  </si>
  <si>
    <t>BCS1060</t>
  </si>
  <si>
    <t>EPS7578</t>
  </si>
  <si>
    <t>EPS6068</t>
  </si>
  <si>
    <t>302 Residential Units
20 Commercial Units
TOTAL - 322 Units</t>
  </si>
  <si>
    <r>
      <t xml:space="preserve">GOLD HOUSE NORTH - JOINT
</t>
    </r>
    <r>
      <rPr>
        <sz val="9"/>
        <color theme="1"/>
        <rFont val="Calibri"/>
        <family val="2"/>
        <scheme val="minor"/>
      </rPr>
      <t>6383 McKay Avenue
Burnaby, B.C.
V5H 0H8</t>
    </r>
  </si>
  <si>
    <r>
      <t xml:space="preserve">GOLD HOUSE NORTH - RESIDENTIAL SECTION
</t>
    </r>
    <r>
      <rPr>
        <sz val="9"/>
        <color theme="1"/>
        <rFont val="Calibri"/>
        <family val="2"/>
        <scheme val="minor"/>
      </rPr>
      <t>6383 McKay Avenue
Burnaby, B.C.
V5H 0H8</t>
    </r>
  </si>
  <si>
    <t xml:space="preserve">302 Residential Units
</t>
  </si>
  <si>
    <t xml:space="preserve">KINGS CROSSING OWNERS COMMITTEE (KCOC) AMENITY CLUB
</t>
  </si>
  <si>
    <t xml:space="preserve">252 Residential Units </t>
  </si>
  <si>
    <t>EPS7281</t>
  </si>
  <si>
    <t>71 Units (70 Residential and 1 Commercial)
ONE STRATA</t>
  </si>
  <si>
    <t>5087
NLM as of May 31, 2021
Fraser Park Realty Ltd.</t>
  </si>
  <si>
    <r>
      <t xml:space="preserve">UPPER MONTROSE - JOINT
</t>
    </r>
    <r>
      <rPr>
        <sz val="9"/>
        <color theme="1"/>
        <rFont val="Calibri"/>
        <family val="2"/>
        <scheme val="minor"/>
      </rPr>
      <t xml:space="preserve">2493 Montrose Avenue V2S 0L4/5
 2498 Pauline Street V2S 0L6
2485 Montrose Ave (Comm) V2S 3T2
Abbotsford, B.C. 
</t>
    </r>
  </si>
  <si>
    <r>
      <t xml:space="preserve">UPPER MONTROSE - COMMERCIAL SECTION
</t>
    </r>
    <r>
      <rPr>
        <sz val="9"/>
        <color theme="1"/>
        <rFont val="Calibri"/>
        <family val="2"/>
        <scheme val="minor"/>
      </rPr>
      <t xml:space="preserve">2485 Montrose Avenue V2S 3T2
Abbotsford, B.C. 
</t>
    </r>
  </si>
  <si>
    <r>
      <t xml:space="preserve">UPPER MONTROSE - RESIDENTIAL SECTION
</t>
    </r>
    <r>
      <rPr>
        <sz val="9"/>
        <color theme="1"/>
        <rFont val="Calibri"/>
        <family val="2"/>
        <scheme val="minor"/>
      </rPr>
      <t xml:space="preserve">2493 Montrose Avenue V2S 0L4/5
2498 Pauline Street V2S 0L6
Abbotsford, B.C. 
</t>
    </r>
  </si>
  <si>
    <t>EPS7576</t>
  </si>
  <si>
    <t>9 Residential Units</t>
  </si>
  <si>
    <t xml:space="preserve">ACCOUNTING ONLY </t>
  </si>
  <si>
    <t>5208
NLM as of June 1, 2021
KORECKI</t>
  </si>
  <si>
    <t>Hub  International
(32988 South Fraswer Way branch)</t>
  </si>
  <si>
    <t xml:space="preserve">152 Residential Units </t>
  </si>
  <si>
    <r>
      <t xml:space="preserve">HUDSON &amp; SINGER
</t>
    </r>
    <r>
      <rPr>
        <sz val="9"/>
        <color theme="1"/>
        <rFont val="Calibri"/>
        <family val="2"/>
        <scheme val="minor"/>
      </rPr>
      <t>Building A (Hudson)
20838 78B Avenue
Langley, BC
V2Y 3M1
Building B (Singer)
20838 78B Avenue
V2Y 3M2</t>
    </r>
    <r>
      <rPr>
        <b/>
        <sz val="9"/>
        <color theme="1"/>
        <rFont val="Calibri"/>
        <family val="2"/>
        <scheme val="minor"/>
      </rPr>
      <t xml:space="preserve">
</t>
    </r>
  </si>
  <si>
    <r>
      <t xml:space="preserve">PARK HOUSE NORTH
</t>
    </r>
    <r>
      <rPr>
        <sz val="9"/>
        <color theme="1"/>
        <rFont val="Calibri"/>
        <family val="2"/>
      </rPr>
      <t>488 West 58th Avenue
Vancouver, B.C. 
V5X 1V5</t>
    </r>
  </si>
  <si>
    <r>
      <rPr>
        <b/>
        <sz val="9"/>
        <rFont val="Calibri"/>
        <family val="2"/>
        <scheme val="minor"/>
      </rPr>
      <t>BORDEAUX</t>
    </r>
    <r>
      <rPr>
        <sz val="9"/>
        <rFont val="Calibri"/>
        <family val="2"/>
        <scheme val="minor"/>
      </rPr>
      <t xml:space="preserve">
4488 Juneau Street
Burnaby, B.C. 
V5C 0M4</t>
    </r>
  </si>
  <si>
    <r>
      <rPr>
        <b/>
        <sz val="9"/>
        <rFont val="Calibri"/>
        <family val="2"/>
        <scheme val="minor"/>
      </rPr>
      <t>THE BERESFORD</t>
    </r>
    <r>
      <rPr>
        <sz val="9"/>
        <rFont val="Calibri"/>
        <family val="2"/>
        <scheme val="minor"/>
      </rPr>
      <t xml:space="preserve">
6288 Beresford Street
Burnaby, B.C. 
V5J 1K2</t>
    </r>
  </si>
  <si>
    <t>EPS7405</t>
  </si>
  <si>
    <t>EPS6841</t>
  </si>
  <si>
    <t>EPS7516</t>
  </si>
  <si>
    <t>EPS7457</t>
  </si>
  <si>
    <t>419 Residential Units</t>
  </si>
  <si>
    <t>248 Residential Units</t>
  </si>
  <si>
    <t>140 Residential Units</t>
  </si>
  <si>
    <t>17 Residential Units</t>
  </si>
  <si>
    <t>$100.00
Weekend Move In/Out Rule: Moves on weekends will have an additional $125 on top of the $100 move in fee or the $100 move out fee to account for a move in attendant. In additional, residents are not allowed to keep the front lobby doors open during moves unless a move in attendant is present</t>
  </si>
  <si>
    <t>$100.00
Weekend Move In/Out Rule: Moves on weekends will have an additional $125 on top of the $100 move in fee or the $100 move out fee to account for a move in attendant. In additional, residents are not allowed to keep the front lobby doors open during moves unless a move in attendant is present.</t>
  </si>
  <si>
    <r>
      <t xml:space="preserve">NANAIMO HEIGHTS
</t>
    </r>
    <r>
      <rPr>
        <sz val="9"/>
        <color theme="1"/>
        <rFont val="Calibri"/>
        <family val="2"/>
        <scheme val="minor"/>
      </rPr>
      <t>2402 &amp; 2406 East 28th Avenue
4402, 4404, 4406, 4410, 4416, 4418 &amp; 4422 Nanaimo Street
Vancouver, BC
V5N 0H7</t>
    </r>
  </si>
  <si>
    <t>VS</t>
  </si>
  <si>
    <t>BK</t>
  </si>
  <si>
    <t>Hub International (4350 Still Creek Dr. branch)</t>
  </si>
  <si>
    <t>EPS5758</t>
  </si>
  <si>
    <t>288 Residential Units</t>
  </si>
  <si>
    <t>Building Manager, Nep Soliva 
604-862-2593
theroyal@rservice.ca</t>
  </si>
  <si>
    <t>Concierge: 604-681-0878
superclubconcierge@rservice.ca</t>
  </si>
  <si>
    <r>
      <rPr>
        <b/>
        <sz val="9"/>
        <rFont val="Calibri"/>
        <family val="2"/>
        <scheme val="minor"/>
      </rPr>
      <t>KINGS CROSSING 2</t>
    </r>
    <r>
      <rPr>
        <sz val="9"/>
        <rFont val="Calibri"/>
        <family val="2"/>
        <scheme val="minor"/>
      </rPr>
      <t xml:space="preserve">
7358 Edmonds Street
Burnaby, B.C. 
V3N 0H1</t>
    </r>
  </si>
  <si>
    <t xml:space="preserve">Building Supervisor:  Abdullah Qureshi
Phone:  778-872-0340 (okay to give out)
Email:  aqureshi@rservice.ca
</t>
  </si>
  <si>
    <t>Bldg. Super: Ben Longno
Cell: 604-839-5060
blongno@rservice.ca</t>
  </si>
  <si>
    <t>EPS7638</t>
  </si>
  <si>
    <t>Phase One - 128
Phase Two - 103
Phase Three - 104</t>
  </si>
  <si>
    <t>NORMAL STRATA, PHASED</t>
  </si>
  <si>
    <r>
      <t xml:space="preserve">Bldg. Super: Carlos Perdomo
Cell: 604-813-6463 </t>
    </r>
    <r>
      <rPr>
        <sz val="9"/>
        <color rgb="FFFF0000"/>
        <rFont val="Calibri"/>
        <family val="2"/>
      </rPr>
      <t>(do not give out)
Email: cperdomo@rservice.ca
Concierge: 604-681-0878
Fax: 604-685-1109
Email: superclubconcierge@rservice.ca</t>
    </r>
  </si>
  <si>
    <t xml:space="preserve">Bldg. Super: Ted Galvin
Cell: 604-833-6585  (do not give out)
tgalvin@allbrightservices.ca
Concierge: 604-688-5488
concordconcierge@rservice.ca
Pager: 604-601-7844
Fax: 604-682-2093
</t>
  </si>
  <si>
    <t>Building Manager:
Louie Liu - 604-785-9730
elle@rservice.ca</t>
  </si>
  <si>
    <t>Building Manager: Clare forest34concierge@rservice.ca 
604-809-2419</t>
  </si>
  <si>
    <t xml:space="preserve"> Edwin Ma (Building Manager)
Mon-Fri (8am-4pm)
778 862 8803 (office)
goldenleaftowers@rservice.ca
</t>
  </si>
  <si>
    <t>Building Manager:
Ken Petkau  
604-329-4358 
juneau@rservice.ca</t>
  </si>
  <si>
    <t>Bldg. Super: Roman Linnyk:
Cell: 604-329-4329 (don’t give out)
Bldg. Super: Cristian Ciurel
Cell: 604-329-4329 (don’t give out)
Email: cciurel@rservice.ca
Concierge: 604-899-0701
Email: marinapointeconcierge@rservice.ca</t>
  </si>
  <si>
    <t>Bldg. Super: Roman Linnyk:
Cell: 604-329-4329 (don’t give out)
Bldg. Super: Cristian Ciurel
Cell: 604-329-4329 (don’t give out)
Email: cciurel@ranchogroup.com
Concierge: 604-899-0701
Email: marinapointeconcierge@rservice.ca</t>
  </si>
  <si>
    <t xml:space="preserve">Resident Manager:
Heru Santoso
Cell: 604-338-1446 (do not give out)
Office: 604-299-1390
oucmanager@rservice.ca
</t>
  </si>
  <si>
    <t>Ken Petkau
604-836-1107 (cell do not give out)
604-464-3666 (office number)
Email: parc@rservice.ca</t>
  </si>
  <si>
    <t>Concierge
Tel: 604-581-1884
Fax: 604-589-1326
Cell: 604-230-6471
Email: parkavenueconcierge@rservice.ca
Building Manager
Ibrahim (Hussein) Abu 
Cell: 604-786-9582
Email: iabu@rservice.ca</t>
  </si>
  <si>
    <t xml:space="preserve">
Marina Office:
604-681-9115
Marina Cell: 
604-209-6456 (ok to give out)
Marina Fax:
604-681-1932
Email: qsmarina@rservice.ca
Richard - 778-980-2156 (do not give out)
Bike Patrol: 778-846-2672
</t>
  </si>
  <si>
    <r>
      <t xml:space="preserve">Robert Poblacion
</t>
    </r>
    <r>
      <rPr>
        <sz val="9"/>
        <color indexed="10"/>
        <rFont val="Calibri"/>
        <family val="2"/>
      </rPr>
      <t>Cell: 604-779-7205 (DON'T GIVE OUT!)</t>
    </r>
    <r>
      <rPr>
        <sz val="9"/>
        <rFont val="Calibri"/>
        <family val="2"/>
      </rPr>
      <t xml:space="preserve">
rpoblacion@rservice.ca</t>
    </r>
  </si>
  <si>
    <t xml:space="preserve">Building Manager:
Aman Bains
Onsite from 9:00 a.m. – 1:00 p.m. Monday – Friday
604-240-1655
southpointwalk2@rservice.ca
</t>
  </si>
  <si>
    <t xml:space="preserve">Bldg. Super: Richard Chan
778-321-8092
spectrumconcierge@rservice.ca
</t>
  </si>
  <si>
    <t>Concierge
Cell: 778-874-1051
Office: 604-584-2336
parkplaceconcierge@rservice.ca
Building Manager:
Stedman Espinosa
778-899-7950 (do not give out)
espinoza@rservice.ca</t>
  </si>
  <si>
    <r>
      <t xml:space="preserve">Surendra Chand
</t>
    </r>
    <r>
      <rPr>
        <sz val="9"/>
        <rFont val="Calibri"/>
        <family val="2"/>
      </rPr>
      <t xml:space="preserve">Surendra 604-868-6701
schand@rservice.ca
604-559-8379 – main # 
604-559-8371 – fax/ distinctive 
604-868-6701 (cell-do not give)
</t>
    </r>
  </si>
  <si>
    <t xml:space="preserve">Concierge
Email: TempoConcierge@rservice.ca
Cell: 778-828-5660 (don't give out)
Office: 604-244-0330
On-Call Caretaker
Po Leung
Cell: 604-828-5660 (don't give out)
</t>
  </si>
  <si>
    <r>
      <rPr>
        <b/>
        <sz val="9"/>
        <rFont val="Calibri"/>
        <family val="2"/>
        <scheme val="minor"/>
      </rPr>
      <t>KINGS CROSSING 1</t>
    </r>
    <r>
      <rPr>
        <sz val="9"/>
        <rFont val="Calibri"/>
        <family val="2"/>
        <scheme val="minor"/>
      </rPr>
      <t xml:space="preserve">
7388 Kingsway
Burnaby, BC
V3N 0G9</t>
    </r>
  </si>
  <si>
    <t>EPS5757</t>
  </si>
  <si>
    <t>Concierge
vantageconcierge@rservice.ca
604-570-0139</t>
  </si>
  <si>
    <t xml:space="preserve">Building Manager:
Vladimir Estay
Office: 604-568-3362
Cell: 778-227-4423 (do not give out)
vestay@rservice.ca
</t>
  </si>
  <si>
    <t>258 Residential Units</t>
  </si>
  <si>
    <t>PL
(VC is Admin)</t>
  </si>
  <si>
    <t>EPS7877</t>
  </si>
  <si>
    <r>
      <t xml:space="preserve">THE RESIDENCES AT WILLOUGHBY (PARCEL 3)
JOINT
</t>
    </r>
    <r>
      <rPr>
        <sz val="9"/>
        <rFont val="Calibri"/>
        <family val="2"/>
        <scheme val="minor"/>
      </rPr>
      <t>20727 Willoughby Town Centre Drive
Langley, B.C. 
V2Y 1X1</t>
    </r>
  </si>
  <si>
    <r>
      <t xml:space="preserve">THE RESIDENCES AT WILLOUGHBY (PARCEL 3)
RESIDENTIAL SECTION
</t>
    </r>
    <r>
      <rPr>
        <sz val="9"/>
        <rFont val="Calibri"/>
        <family val="2"/>
        <scheme val="minor"/>
      </rPr>
      <t>20727 Willoughby Town Centre Drive
Langley, B.C. 
V2Y 1X1</t>
    </r>
  </si>
  <si>
    <t xml:space="preserve">91 Residential Units
</t>
  </si>
  <si>
    <r>
      <t xml:space="preserve">VENTURA
</t>
    </r>
    <r>
      <rPr>
        <sz val="9"/>
        <color theme="1"/>
        <rFont val="Calibri"/>
        <family val="2"/>
        <scheme val="minor"/>
      </rPr>
      <t>32838 Ventura Avenue
Abbotsford, BC
V2S 0M5</t>
    </r>
  </si>
  <si>
    <t>EPS6726</t>
  </si>
  <si>
    <t xml:space="preserve">280 Residential Units
</t>
  </si>
  <si>
    <t>EPS7662</t>
  </si>
  <si>
    <r>
      <t xml:space="preserve">ATELIER COMMERCIAL
</t>
    </r>
    <r>
      <rPr>
        <sz val="9"/>
        <rFont val="Calibri"/>
        <family val="2"/>
      </rPr>
      <t>825-845 Homer Street
410, 420, 428, 430, 438 &amp; 450 Robson Street
Vancouver, BC</t>
    </r>
  </si>
  <si>
    <t>PHASE ONE - 24
PHASE TWO - 26
PHASE THREE - 11
PHASE FOUR- 16
PHASE FIVE - 18
PHASE SIX - 16
PHASE SEVEN - 16
TOTAL - 127 units</t>
  </si>
  <si>
    <r>
      <t xml:space="preserve">GOLD HOUSE NORTH - COMMERCIAL SECTION
</t>
    </r>
    <r>
      <rPr>
        <sz val="9"/>
        <color theme="1"/>
        <rFont val="Calibri"/>
        <family val="2"/>
      </rPr>
      <t xml:space="preserve">4378 Beresford Street
Burnaby, B.C.
</t>
    </r>
  </si>
  <si>
    <r>
      <rPr>
        <b/>
        <sz val="9"/>
        <color rgb="FFFF0000"/>
        <rFont val="Calibri"/>
        <family val="2"/>
        <scheme val="minor"/>
      </rPr>
      <t>PARK BOULEVARD</t>
    </r>
    <r>
      <rPr>
        <sz val="9"/>
        <color rgb="FFFF0000"/>
        <rFont val="Calibri"/>
        <family val="2"/>
        <scheme val="minor"/>
      </rPr>
      <t xml:space="preserve">
Residential Building - 9887 Whalley Boulevard
Townhouses - 9861, 9863, 9867, 9869, 9881, 9883, 9887, 9889 Whalley Boulevard
Surrey, B.C. 
V3T 0P4</t>
    </r>
  </si>
  <si>
    <r>
      <rPr>
        <b/>
        <sz val="9"/>
        <color rgb="FFFF0000"/>
        <rFont val="Calibri"/>
        <family val="2"/>
        <scheme val="minor"/>
      </rPr>
      <t xml:space="preserve">AVENUE ONE </t>
    </r>
    <r>
      <rPr>
        <sz val="9"/>
        <color rgb="FFFF0000"/>
        <rFont val="Calibri"/>
        <family val="2"/>
        <scheme val="minor"/>
      </rPr>
      <t xml:space="preserve">
Residential Tower - 1768 Cook Street, Vancouver, B.C. 
Townhouses
1718, 1728, 1738 Cook Street
208, 210, 212 West 1st Avenue
1755, 1765, 1775, 1785 Columbia Street
Vancouver, B.C. V5Y 0N3</t>
    </r>
  </si>
  <si>
    <t>EPS5983</t>
  </si>
  <si>
    <t>Building A - Nicholson
90 Units
Building B - Scott
98 Units
TOTAL - 188 Units</t>
  </si>
  <si>
    <r>
      <t xml:space="preserve">SCOTT &amp; NICHOLSON
</t>
    </r>
    <r>
      <rPr>
        <sz val="9"/>
        <rFont val="Calibri"/>
        <family val="2"/>
      </rPr>
      <t xml:space="preserve">
Building A - Nicholson
6950 Nicholson Road
Delta, BC
V4E 0A8
</t>
    </r>
    <r>
      <rPr>
        <sz val="9"/>
        <color theme="1"/>
        <rFont val="Calibri"/>
        <family val="2"/>
      </rPr>
      <t>Building B - Scott
6960 Nicholson Road
Delta, BC
V4E 0A9</t>
    </r>
  </si>
  <si>
    <r>
      <t xml:space="preserve">5532
</t>
    </r>
    <r>
      <rPr>
        <b/>
        <sz val="9"/>
        <color rgb="FFFF0000"/>
        <rFont val="Calibri"/>
        <family val="2"/>
        <scheme val="minor"/>
      </rPr>
      <t>NLM as of September 1, 2021
FirstService Residential</t>
    </r>
  </si>
  <si>
    <r>
      <t xml:space="preserve">5359
</t>
    </r>
    <r>
      <rPr>
        <b/>
        <sz val="9"/>
        <color rgb="FFFF0000"/>
        <rFont val="Calibri"/>
        <family val="2"/>
        <scheme val="minor"/>
      </rPr>
      <t>NLM as of August 31, 2021
Pacific Quorum</t>
    </r>
  </si>
  <si>
    <r>
      <t xml:space="preserve">5202
</t>
    </r>
    <r>
      <rPr>
        <b/>
        <sz val="9"/>
        <color rgb="FFFF0000"/>
        <rFont val="Calibri"/>
        <family val="2"/>
        <scheme val="minor"/>
      </rPr>
      <t>NLM as of August 31, 2021
Strataco Management</t>
    </r>
  </si>
  <si>
    <r>
      <t xml:space="preserve">5180
</t>
    </r>
    <r>
      <rPr>
        <b/>
        <sz val="9"/>
        <color rgb="FFFF0000"/>
        <rFont val="Calibri"/>
        <family val="2"/>
        <scheme val="minor"/>
      </rPr>
      <t>NLM as of September 1, 2021
FirstService Residential</t>
    </r>
  </si>
  <si>
    <t>BCS3157</t>
  </si>
  <si>
    <r>
      <t xml:space="preserve">THE FULLERTON
</t>
    </r>
    <r>
      <rPr>
        <sz val="9"/>
        <rFont val="Calibri"/>
        <family val="2"/>
        <scheme val="minor"/>
      </rPr>
      <t>9171 Ferndale Road
Richmond, BC</t>
    </r>
  </si>
  <si>
    <t xml:space="preserve">CZ/TL
(CZ's Admin)
</t>
  </si>
  <si>
    <t>5597
5597-1 (Hazelbridge)
5597-2 (Ketcheson)</t>
  </si>
  <si>
    <t>EPS7928</t>
  </si>
  <si>
    <r>
      <t xml:space="preserve">THE LEX
</t>
    </r>
    <r>
      <rPr>
        <sz val="9"/>
        <rFont val="Calibri"/>
        <family val="2"/>
      </rPr>
      <t>1249 Granville Street
Vancouver, BC
V6Z 1M5</t>
    </r>
  </si>
  <si>
    <t>BCS336</t>
  </si>
  <si>
    <t>SC</t>
  </si>
  <si>
    <t>CW</t>
  </si>
  <si>
    <t xml:space="preserve">45 Residential Units
2 Commercial Units </t>
  </si>
  <si>
    <t xml:space="preserve">$300
$300 DD
</t>
  </si>
  <si>
    <t>91 Residential Units
22 Commercial Units
113 TOTAL UNITS</t>
  </si>
  <si>
    <t>73 Units</t>
  </si>
  <si>
    <t>NB</t>
  </si>
  <si>
    <r>
      <t xml:space="preserve">5448
</t>
    </r>
    <r>
      <rPr>
        <b/>
        <sz val="9"/>
        <color rgb="FFFF0000"/>
        <rFont val="Calibri"/>
        <family val="2"/>
        <scheme val="minor"/>
      </rPr>
      <t>No Longer Manage - December 2020</t>
    </r>
  </si>
  <si>
    <r>
      <t xml:space="preserve">$150.00 (excluding </t>
    </r>
    <r>
      <rPr>
        <u/>
        <sz val="9"/>
        <color theme="1"/>
        <rFont val="Calibri"/>
        <family val="2"/>
        <scheme val="minor"/>
      </rPr>
      <t>first</t>
    </r>
    <r>
      <rPr>
        <sz val="9"/>
        <color theme="1"/>
        <rFont val="Calibri"/>
        <family val="2"/>
        <scheme val="minor"/>
      </rPr>
      <t xml:space="preserve"> move in after unit purchased from developer)</t>
    </r>
  </si>
  <si>
    <r>
      <t xml:space="preserve">HARMONY
</t>
    </r>
    <r>
      <rPr>
        <sz val="9"/>
        <rFont val="Calibri"/>
        <family val="2"/>
      </rPr>
      <t>222, 224, 226, 228, 230 &amp; 232 East 8th Street
North Vancouver, B.C. 
V7L 1Z1</t>
    </r>
  </si>
  <si>
    <t>EPS8082</t>
  </si>
  <si>
    <r>
      <t xml:space="preserve">27NORTH
</t>
    </r>
    <r>
      <rPr>
        <sz val="9"/>
        <color theme="1"/>
        <rFont val="Calibri"/>
        <family val="2"/>
        <scheme val="minor"/>
      </rPr>
      <t>3490 Mt. Seymour Parkway
North Vancouver, BC
V7H 1G6</t>
    </r>
  </si>
  <si>
    <t>27 Townhouse Units</t>
  </si>
  <si>
    <r>
      <t xml:space="preserve">EZEKIEL
</t>
    </r>
    <r>
      <rPr>
        <sz val="9"/>
        <color theme="1"/>
        <rFont val="Calibri"/>
        <family val="2"/>
        <scheme val="minor"/>
      </rPr>
      <t>5486 199A Street
Langley, B.C.
V3A 0N6</t>
    </r>
  </si>
  <si>
    <t>EPS7964</t>
  </si>
  <si>
    <t>104 Units</t>
  </si>
  <si>
    <r>
      <t xml:space="preserve">LUMA
</t>
    </r>
    <r>
      <rPr>
        <sz val="9"/>
        <color theme="1"/>
        <rFont val="Calibri"/>
        <family val="2"/>
        <scheme val="minor"/>
      </rPr>
      <t>6688 Arcola Street
Burnaby, BC
V5E 0B3</t>
    </r>
  </si>
  <si>
    <t>BCS4066</t>
  </si>
  <si>
    <t>180 Units</t>
  </si>
  <si>
    <t>$200 (unfurnished)
$100 (furnished)</t>
  </si>
  <si>
    <r>
      <t xml:space="preserve">DISCOVERY REACH
</t>
    </r>
    <r>
      <rPr>
        <sz val="9"/>
        <rFont val="Calibri"/>
        <family val="2"/>
        <scheme val="minor"/>
      </rPr>
      <t>210 11th Street, V3M 4C9 - 5203-2A
211 12th Street, V3M 4H4 - 5203-1A
214 11th Street, V3M 4C9 - 5203-2B
215 12th Street, V3M 4H4 - 5203-1B
New Westminster, BC</t>
    </r>
  </si>
  <si>
    <r>
      <t xml:space="preserve">PROMENADE - COMMERCIAL  SECTION (EXPAND ROW FOR COMPLETE LIST OF UNITS)
</t>
    </r>
    <r>
      <rPr>
        <sz val="9"/>
        <color theme="1"/>
        <rFont val="Calibri"/>
        <family val="2"/>
        <scheme val="minor"/>
      </rPr>
      <t>CRU1 - 112 Carrie Cates Court
CRU2 - 114 Carrie Cates Court
CRU3 - 120 Carrie Cates Court
CRU4 - 122 Carrie Cates Court
CRU5 - 124 Carrie Cates Court
CRU6 - 126 Carrie Cates Court
CRU7 - 128 Carrie Cates Court
CRU8 - 129 West Esplanade
CRU9 - 125 West Esplanade
CRU10 - 123 West Esplanade
CRU11 - 121 West Esplanade
CRU12 - 122 West Esplanade
CRU13 - 127 West Esplanade
CRU14 - 115 West Esplanade
North Vancouver, B.C. 
V7M 0G6</t>
    </r>
  </si>
  <si>
    <t>Building Manager: Tatyana Taradas
pinnacleliving@rservice.ca
Phone: 604-653-0090</t>
  </si>
  <si>
    <r>
      <t xml:space="preserve">5639
</t>
    </r>
    <r>
      <rPr>
        <b/>
        <sz val="9"/>
        <color rgb="FFFF0000"/>
        <rFont val="Calibri"/>
        <family val="2"/>
        <scheme val="minor"/>
      </rPr>
      <t xml:space="preserve">NLM - January 31, 2022
REMI Realty Inc. </t>
    </r>
  </si>
  <si>
    <r>
      <t xml:space="preserve">5584
</t>
    </r>
    <r>
      <rPr>
        <b/>
        <sz val="9"/>
        <color rgb="FFFF0000"/>
        <rFont val="Calibri"/>
        <family val="2"/>
        <scheme val="minor"/>
      </rPr>
      <t>NLM as of October 23, 2021</t>
    </r>
    <r>
      <rPr>
        <b/>
        <sz val="9"/>
        <color theme="3" tint="0.39997558519241921"/>
        <rFont val="Calibri"/>
        <family val="2"/>
        <scheme val="minor"/>
      </rPr>
      <t xml:space="preserve">
</t>
    </r>
    <r>
      <rPr>
        <b/>
        <sz val="9"/>
        <color rgb="FFFF0000"/>
        <rFont val="Calibri"/>
        <family val="2"/>
        <scheme val="minor"/>
      </rPr>
      <t>FirstService Residential</t>
    </r>
  </si>
  <si>
    <r>
      <t xml:space="preserve">5606
</t>
    </r>
    <r>
      <rPr>
        <b/>
        <sz val="9"/>
        <color rgb="FFFF0000"/>
        <rFont val="Calibri"/>
        <family val="2"/>
        <scheme val="minor"/>
      </rPr>
      <t>NLM - January 31, 2022
AWM</t>
    </r>
  </si>
  <si>
    <r>
      <t xml:space="preserve">5650
</t>
    </r>
    <r>
      <rPr>
        <b/>
        <sz val="9"/>
        <color rgb="FFFF0000"/>
        <rFont val="Calibri"/>
        <family val="2"/>
        <scheme val="minor"/>
      </rPr>
      <t>NLM as of December 1, 2021
Davin Management Ltd.</t>
    </r>
  </si>
  <si>
    <r>
      <t xml:space="preserve">5378
</t>
    </r>
    <r>
      <rPr>
        <b/>
        <sz val="9"/>
        <color rgb="FFFF0000"/>
        <rFont val="Calibri"/>
        <family val="2"/>
        <scheme val="minor"/>
      </rPr>
      <t>NLM as of December 31, 2021
Dorset Realty Group</t>
    </r>
  </si>
  <si>
    <r>
      <t xml:space="preserve">5187
</t>
    </r>
    <r>
      <rPr>
        <b/>
        <sz val="9"/>
        <color rgb="FFFF0000"/>
        <rFont val="Calibri"/>
        <family val="2"/>
        <scheme val="minor"/>
      </rPr>
      <t>NLM as of December 31, 2021
West Coast Property Mgmt.</t>
    </r>
  </si>
  <si>
    <r>
      <t xml:space="preserve">CIRRUS
</t>
    </r>
    <r>
      <rPr>
        <sz val="9"/>
        <rFont val="Calibri"/>
        <family val="2"/>
      </rPr>
      <t xml:space="preserve">2085 Skyline Court
Burnaby, B.C. 
V5C 0M6 </t>
    </r>
  </si>
  <si>
    <t>CF</t>
  </si>
  <si>
    <t>EPS7865</t>
  </si>
  <si>
    <t>5284
NLM - January 1, 2022
Associa</t>
  </si>
  <si>
    <t>5612
NLM - January 31, 2022
Associa</t>
  </si>
  <si>
    <t>5070
NLM as of January 31, 2022
Associa</t>
  </si>
  <si>
    <r>
      <t xml:space="preserve">5538
</t>
    </r>
    <r>
      <rPr>
        <b/>
        <sz val="9"/>
        <color rgb="FFFF0000"/>
        <rFont val="Calibri"/>
        <family val="2"/>
        <scheme val="minor"/>
      </rPr>
      <t>NLM as of February 1, 2022
West Coast Property Management</t>
    </r>
  </si>
  <si>
    <r>
      <t xml:space="preserve">5540
</t>
    </r>
    <r>
      <rPr>
        <b/>
        <sz val="9"/>
        <color rgb="FFFF0000"/>
        <rFont val="Calibri"/>
        <family val="2"/>
        <scheme val="minor"/>
      </rPr>
      <t>NLM as of February 1, 2022
West Coast Property Management</t>
    </r>
  </si>
  <si>
    <r>
      <t xml:space="preserve">5539
</t>
    </r>
    <r>
      <rPr>
        <b/>
        <sz val="9"/>
        <color rgb="FFFF0000"/>
        <rFont val="Calibri"/>
        <family val="2"/>
        <scheme val="minor"/>
      </rPr>
      <t>NLM as of February 1, 2022
West Coast Property Management</t>
    </r>
  </si>
  <si>
    <t>SC/SR
(SR's Admin)</t>
  </si>
  <si>
    <t xml:space="preserve">103/3
</t>
  </si>
  <si>
    <t>2 Commercial Units</t>
  </si>
  <si>
    <t>61 Residential Units
2 Commercial Units
63 Joint Units Total</t>
  </si>
  <si>
    <t>Strata Shield</t>
  </si>
  <si>
    <r>
      <t xml:space="preserve">5501
</t>
    </r>
    <r>
      <rPr>
        <b/>
        <sz val="9"/>
        <color rgb="FFFF0000"/>
        <rFont val="Calibri"/>
        <family val="2"/>
        <scheme val="minor"/>
      </rPr>
      <t>NLM as of March 31, 2022
Wynford Strata Management</t>
    </r>
  </si>
  <si>
    <t>5379
5379-1
5379-2
5379-TH</t>
  </si>
  <si>
    <t xml:space="preserve">$200.00
</t>
  </si>
  <si>
    <t>$200 move in (covers cost of move out)
$100 furnished move in</t>
  </si>
  <si>
    <t>None (included with move in fee)</t>
  </si>
  <si>
    <t>5563
5563-1 (7660 Minoru)
5563-2 (7680 Minoru)
5563-3 (7671 Abercrombie)
5563-4 (7651 Abercrombie)</t>
  </si>
  <si>
    <r>
      <t xml:space="preserve">THE GIORDANO
</t>
    </r>
    <r>
      <rPr>
        <sz val="9"/>
        <color theme="1"/>
        <rFont val="Calibri"/>
        <family val="2"/>
        <scheme val="minor"/>
      </rPr>
      <t xml:space="preserve">1403 26A Street SW
Calgary, AB
(this is a Calgary project, but in Newstar)
</t>
    </r>
    <r>
      <rPr>
        <b/>
        <sz val="9"/>
        <color theme="1"/>
        <rFont val="Calibri"/>
        <family val="2"/>
        <scheme val="minor"/>
      </rPr>
      <t xml:space="preserve">
</t>
    </r>
    <r>
      <rPr>
        <sz val="9"/>
        <color theme="1"/>
        <rFont val="Calibri"/>
        <family val="2"/>
        <scheme val="minor"/>
      </rPr>
      <t xml:space="preserve">
</t>
    </r>
  </si>
  <si>
    <r>
      <t xml:space="preserve">5605
</t>
    </r>
    <r>
      <rPr>
        <b/>
        <sz val="9"/>
        <color rgb="FFFF0000"/>
        <rFont val="Calibri"/>
        <family val="2"/>
        <scheme val="minor"/>
      </rPr>
      <t>NLM as of February 28, 2022</t>
    </r>
    <r>
      <rPr>
        <b/>
        <sz val="9"/>
        <color theme="1"/>
        <rFont val="Calibri"/>
        <family val="2"/>
        <scheme val="minor"/>
      </rPr>
      <t xml:space="preserve">
</t>
    </r>
    <r>
      <rPr>
        <b/>
        <sz val="9"/>
        <color rgb="FFFF0000"/>
        <rFont val="Calibri"/>
        <family val="2"/>
        <scheme val="minor"/>
      </rPr>
      <t>FirstService Residential</t>
    </r>
  </si>
  <si>
    <r>
      <t xml:space="preserve">5549
5549-1
5549-2
5549-3
</t>
    </r>
    <r>
      <rPr>
        <b/>
        <sz val="9"/>
        <color rgb="FFFF0000"/>
        <rFont val="Calibri"/>
        <family val="2"/>
        <scheme val="minor"/>
      </rPr>
      <t>NLM as of February 28, 2022</t>
    </r>
    <r>
      <rPr>
        <b/>
        <sz val="9"/>
        <rFont val="Calibri"/>
        <family val="2"/>
        <scheme val="minor"/>
      </rPr>
      <t xml:space="preserve">
</t>
    </r>
    <r>
      <rPr>
        <b/>
        <sz val="9"/>
        <color rgb="FFFF0000"/>
        <rFont val="Calibri"/>
        <family val="2"/>
        <scheme val="minor"/>
      </rPr>
      <t>Strataforce Management Solutions</t>
    </r>
  </si>
  <si>
    <t xml:space="preserve">Unfurnished: $150.00 
Furnished: $75 </t>
  </si>
  <si>
    <t xml:space="preserve">
Ground-level units and townhomes are excempted from the $200 move-in fee as per the Strata Rules.</t>
  </si>
  <si>
    <r>
      <t xml:space="preserve">HOLLOWAY AT THE BOROUGHS
</t>
    </r>
    <r>
      <rPr>
        <sz val="9"/>
        <rFont val="Calibri"/>
        <family val="2"/>
      </rPr>
      <t>2070 Oak Meadows Drive
Surrey, B.C.
V3Z 1J1</t>
    </r>
  </si>
  <si>
    <r>
      <t xml:space="preserve">5638
</t>
    </r>
    <r>
      <rPr>
        <b/>
        <sz val="9"/>
        <color rgb="FFFF0000"/>
        <rFont val="Calibri"/>
        <family val="2"/>
        <scheme val="minor"/>
      </rPr>
      <t>NLM as of April 1, 2022
Korecki</t>
    </r>
  </si>
  <si>
    <t>EPS8296</t>
  </si>
  <si>
    <t>394 Units</t>
  </si>
  <si>
    <t xml:space="preserve">ONSITE CONTACT
</t>
  </si>
  <si>
    <t xml:space="preserve">Building Manager: Marjan Gjorgevich
Office: 604-519-9555
Cell: 604-908-6983 (don’t give out)
Email: muranolofts@rservice.ca
 </t>
  </si>
  <si>
    <t>Linda Chow 
604-789-6858
chow_lindaj@hotmail.com</t>
  </si>
  <si>
    <t xml:space="preserve">For booking moves, fobs, etc. 
778-874-1050
richards@rservice.ca
Building Manager:
Jason Beke
jbeke@allbrightservices.ca (do not give out)
778-232-9070 (do not give out / for use of building emergency only)
richards@rservice.ca
</t>
  </si>
  <si>
    <t>No contact needed</t>
  </si>
  <si>
    <t xml:space="preserve">
258stratacouncil@gmail.com
</t>
  </si>
  <si>
    <t xml:space="preserve">Jun Guevarra
jun@linis.ca
604-351-7544 (do not give out)
</t>
  </si>
  <si>
    <t>David Yoo
element1@rservice.ca</t>
  </si>
  <si>
    <t>Joy
mackenzie.park@rservice.ca (do not give out)</t>
  </si>
  <si>
    <t>John Paul (JP)
johnpaul@linis.ca</t>
  </si>
  <si>
    <t>Edwin Caco
edwin@linis.ca
778-863-1017 (do not give out)</t>
  </si>
  <si>
    <t xml:space="preserve">n/a
</t>
  </si>
  <si>
    <t xml:space="preserve">n/a
</t>
  </si>
  <si>
    <t xml:space="preserve">Concierge:
northwestconcierge@rservice.ca
Building Manager:
Enka Dombon
604-838-2158
Northwest@rservice.ca 
</t>
  </si>
  <si>
    <t xml:space="preserve">Concierge: 
Armour Security
Direct Line 604-818-3180
kingscrossingconcierge@outlook.com
</t>
  </si>
  <si>
    <t>Concierge:
parkboulevardconcierge@rservice.ca
604-329-1903
Building Manager: Eric Ray
eray@rservice.ca
778-875-7606 (do not give out)</t>
  </si>
  <si>
    <t xml:space="preserve">Building Manager
Chris Carlson
778-888-9384 (do not give out)
vita@rservice.ca (do not give out)
Concierge
Simar
604-329-4889
Monday – Friday
Hours: 8:00 a.m. – 4:00 p.m.
Office hours: 8:00 a.m. – 9:00 a.m. and 12:30 p.m. – 1:00 p.m.
vitaconcierge@rservice.ca 
</t>
  </si>
  <si>
    <t xml:space="preserve">Bldg. Super: Miljen Mutic
604-710-4599 (do not give out)
Email: MMutic@ranchogroup.com (do not give out)
Concierge: 604-974-0275
marinasideconcierge@rservice.ca
Fax: 604-974-0276
Asst. Super: Dejan Metrovic
Cell: 778-874-1419
</t>
  </si>
  <si>
    <t>Gerardo
Concierge: 604-899-6207
Concierge Fax: 604-899-6219
Email: waterfordconcierge@rservice.ca</t>
  </si>
  <si>
    <t xml:space="preserve">
Joclyn Adams 
778-886-7850
jadams@rservice.ca (do not give out)
Concierge
778-886-7850
erickson@rservice.ca</t>
  </si>
  <si>
    <t>David Forest 
snowforest@telus.net (do not give out)
604-319-2366 (do not give out)</t>
  </si>
  <si>
    <t xml:space="preserve">Glen
604-360-2841 (do not give out)
gcalvert69@yahoo.ca (do not give out)
</t>
  </si>
  <si>
    <t>Sterling
604-340-8946 (do not give out)
sterling@adrcltd.com (do not give out)</t>
  </si>
  <si>
    <t>Kim
604-339-9544 (do not give out)</t>
  </si>
  <si>
    <t xml:space="preserve">Chris Frederickson - #212
604-306-1062
chris@chrisfrederickson.ca
skalatownhomes@gmail.com
</t>
  </si>
  <si>
    <t>Javier Venegas 
604-644-8240 (do not give out)
jvenegas@mintclean.ca (do not give out)</t>
  </si>
  <si>
    <t xml:space="preserve">n/a
</t>
  </si>
  <si>
    <t xml:space="preserve">
n/a
</t>
  </si>
  <si>
    <t>Beresford Strata 
beresfordstrata@gmail.com (do not give out)</t>
  </si>
  <si>
    <t>Building Manager: Jun
604-351-7544 (do not give out)
jun@linis.ca (do not give out)</t>
  </si>
  <si>
    <t>Stanley
604-762-7688 (do not give out)
servicespinetree@gmail.com (do not give out)</t>
  </si>
  <si>
    <t>188.wood.st@gmail.com (do not give out)</t>
  </si>
  <si>
    <t>Kesh Chandra
604-230-7866
peakcaretaker@gmail.com</t>
  </si>
  <si>
    <t>John
604-220-8249 (do not give out)
goldhouse.north@rservice.ca (do not give out)</t>
  </si>
  <si>
    <r>
      <rPr>
        <b/>
        <sz val="9"/>
        <color rgb="FFFF0000"/>
        <rFont val="Calibri"/>
        <family val="2"/>
      </rPr>
      <t>Building Supervisor</t>
    </r>
    <r>
      <rPr>
        <sz val="9"/>
        <color rgb="FFFF0000"/>
        <rFont val="Calibri"/>
        <family val="2"/>
      </rPr>
      <t xml:space="preserve">
Thomas Tam 
thomas.tam@allbrightservices.ca
604-328-2516
</t>
    </r>
    <r>
      <rPr>
        <b/>
        <sz val="9"/>
        <color rgb="FFFF0000"/>
        <rFont val="Calibri"/>
        <family val="2"/>
      </rPr>
      <t>Concierge</t>
    </r>
    <r>
      <rPr>
        <sz val="9"/>
        <color rgb="FFFF0000"/>
        <rFont val="Calibri"/>
        <family val="2"/>
      </rPr>
      <t xml:space="preserve">
Tel: 604-285-7728
Fax: 778-297-1851
concordgardens@rservice.ca</t>
    </r>
  </si>
  <si>
    <t xml:space="preserve">Lucas Neault, Building Manager
Cell: 778-875-5570
lneault@rservice.ca
Concierge
604-435-5320
Cell: 604-612-1514 (do not give out)
Modello@rservice.ca
</t>
  </si>
  <si>
    <t xml:space="preserve">Concierge: Divy Raghav Kakar
Tel: 1-236-992-5415
Email: milanoconcierge@rservice.ca
Building Manager: Mario Diaz  
Tel: 1-236-996-5909 
Milano@rservice.ca
Hours: 8:00 a.m.- 12:00 p.m., Monday – Friday </t>
  </si>
  <si>
    <t>None
Rental Building</t>
  </si>
  <si>
    <t xml:space="preserve"> None
This is the Amenities Club for Park Avenue (5386) and Park Avenue West (5521)</t>
  </si>
  <si>
    <t>Gallagher Insurance</t>
  </si>
  <si>
    <t>Building Manager:
Armand Tchoudja
Phone: 604-219-5075 
Email: cedarcreek@rservice.ca  
Cell(after hours): 604-329-8399 (do not give out)</t>
  </si>
  <si>
    <t>EPS8387</t>
  </si>
  <si>
    <t>EPS6982</t>
  </si>
  <si>
    <r>
      <t xml:space="preserve">CONTESSA
</t>
    </r>
    <r>
      <rPr>
        <sz val="9"/>
        <color theme="1"/>
        <rFont val="Calibri"/>
        <family val="2"/>
        <scheme val="minor"/>
      </rPr>
      <t>5189 Cambie Street (North Tower)
5289 Cambie Street (South Tower)
5269, 5259, 5229, 5219, 5209 Cambie St (Townhomes)
Vancouver, BC 
V5Z 0J4</t>
    </r>
  </si>
  <si>
    <t>Owner's own insurance</t>
  </si>
  <si>
    <t>Lloyd's Canada
Owner's own insurance</t>
  </si>
  <si>
    <t>BFL Canada
Owner's own insurance</t>
  </si>
  <si>
    <t xml:space="preserve">14-Feb-23 
</t>
  </si>
  <si>
    <t>SC/CCS (CCS’s Admin)</t>
  </si>
  <si>
    <t>Intact Insurance
Owner's own insurance</t>
  </si>
  <si>
    <t>Economical Insurance Group
Owner's own insurance</t>
  </si>
  <si>
    <t>Concierge:
etoile2concierge@rservice.ca
(604) 802-2207
Hours: 12:00 p.m. – 6:00 p.m. (7 days a week)
Ron Cathers
604-910-7485 (DO NOT GIVE OUT)
Etoile2manager@rservice.ca</t>
  </si>
  <si>
    <t xml:space="preserve">CZ
</t>
  </si>
  <si>
    <t>EPS8413</t>
  </si>
  <si>
    <t xml:space="preserve">$400 Move In fee 
$100 move in fee –  for furnished unit 
+ $500 damage deposit </t>
  </si>
  <si>
    <t>No move out fee</t>
  </si>
  <si>
    <t xml:space="preserve">Concierge
Peter
236-330-3065 
promenadequaymanager@gmail.com </t>
  </si>
  <si>
    <t>Ashley, Service/Ops Manager ops@stratasmart.net
Office: 604-990-0867
Daisy, Accounting - admin@stratasmart.net</t>
  </si>
  <si>
    <t>EPS8249</t>
  </si>
  <si>
    <t>436 Units</t>
  </si>
  <si>
    <r>
      <t xml:space="preserve">5600
</t>
    </r>
    <r>
      <rPr>
        <b/>
        <sz val="9"/>
        <color rgb="FFFF0000"/>
        <rFont val="Calibri"/>
        <family val="2"/>
        <scheme val="minor"/>
      </rPr>
      <t>NLM as of May 31, 2022</t>
    </r>
    <r>
      <rPr>
        <b/>
        <sz val="9"/>
        <color theme="1"/>
        <rFont val="Calibri"/>
        <family val="2"/>
        <scheme val="minor"/>
      </rPr>
      <t xml:space="preserve">
</t>
    </r>
    <r>
      <rPr>
        <b/>
        <sz val="9"/>
        <color rgb="FFFF0000"/>
        <rFont val="Calibri"/>
        <family val="2"/>
        <scheme val="minor"/>
      </rPr>
      <t>Colyvan Pacific</t>
    </r>
  </si>
  <si>
    <r>
      <t xml:space="preserve">5546
5546-1
5546-2A
5546-2B
</t>
    </r>
    <r>
      <rPr>
        <b/>
        <sz val="9"/>
        <color rgb="FFFF0000"/>
        <rFont val="Calibri"/>
        <family val="2"/>
        <scheme val="minor"/>
      </rPr>
      <t>NLM as of May 31, 2022</t>
    </r>
    <r>
      <rPr>
        <b/>
        <sz val="9"/>
        <rFont val="Calibri"/>
        <family val="2"/>
        <scheme val="minor"/>
      </rPr>
      <t xml:space="preserve">
</t>
    </r>
    <r>
      <rPr>
        <b/>
        <sz val="9"/>
        <color rgb="FFFF0000"/>
        <rFont val="Calibri"/>
        <family val="2"/>
        <scheme val="minor"/>
      </rPr>
      <t>Hugh &amp; McKinnon</t>
    </r>
  </si>
  <si>
    <r>
      <t xml:space="preserve">5670
</t>
    </r>
    <r>
      <rPr>
        <b/>
        <sz val="9"/>
        <color rgb="FFFF0000"/>
        <rFont val="Calibri"/>
        <family val="2"/>
        <scheme val="minor"/>
      </rPr>
      <t>NLM as of May 31, 2022</t>
    </r>
    <r>
      <rPr>
        <b/>
        <sz val="9"/>
        <color theme="1"/>
        <rFont val="Calibri"/>
        <family val="2"/>
        <scheme val="minor"/>
      </rPr>
      <t xml:space="preserve">
</t>
    </r>
    <r>
      <rPr>
        <b/>
        <sz val="9"/>
        <color rgb="FFFF0000"/>
        <rFont val="Calibri"/>
        <family val="2"/>
        <scheme val="minor"/>
      </rPr>
      <t>Remi</t>
    </r>
  </si>
  <si>
    <r>
      <t xml:space="preserve">5668
</t>
    </r>
    <r>
      <rPr>
        <b/>
        <sz val="9"/>
        <color rgb="FFFF0000"/>
        <rFont val="Calibri"/>
        <family val="2"/>
        <scheme val="minor"/>
      </rPr>
      <t>NLM as of June 30, 2022
Remi</t>
    </r>
  </si>
  <si>
    <r>
      <t xml:space="preserve">5667
</t>
    </r>
    <r>
      <rPr>
        <b/>
        <sz val="9"/>
        <color rgb="FFFF0000"/>
        <rFont val="Calibri"/>
        <family val="2"/>
        <scheme val="minor"/>
      </rPr>
      <t>NLM as of June 30, 2022</t>
    </r>
    <r>
      <rPr>
        <b/>
        <sz val="9"/>
        <color theme="1"/>
        <rFont val="Calibri"/>
        <family val="2"/>
        <scheme val="minor"/>
      </rPr>
      <t xml:space="preserve">
</t>
    </r>
    <r>
      <rPr>
        <b/>
        <sz val="9"/>
        <color rgb="FFFF0000"/>
        <rFont val="Calibri"/>
        <family val="2"/>
        <scheme val="minor"/>
      </rPr>
      <t>Remi</t>
    </r>
  </si>
  <si>
    <t>5050
NLM as of July 31, 2022
FirstService Residential</t>
  </si>
  <si>
    <t>5052
NLM as of July 31, 2022
FirstService Residential</t>
  </si>
  <si>
    <t>5055
NLM as of July 31, 2022
FirstService Residential</t>
  </si>
  <si>
    <r>
      <t xml:space="preserve">5665
</t>
    </r>
    <r>
      <rPr>
        <b/>
        <sz val="9"/>
        <color rgb="FFFF0000"/>
        <rFont val="Calibri"/>
        <family val="2"/>
        <scheme val="minor"/>
      </rPr>
      <t xml:space="preserve">NLM as of May 31, 2022
FirstService Residential </t>
    </r>
  </si>
  <si>
    <r>
      <t xml:space="preserve">5654
</t>
    </r>
    <r>
      <rPr>
        <b/>
        <sz val="9"/>
        <color rgb="FFFF0000"/>
        <rFont val="Calibri"/>
        <family val="2"/>
        <scheme val="minor"/>
      </rPr>
      <t xml:space="preserve">NLM as of July 9, 2022
Obsidian Property Management </t>
    </r>
  </si>
  <si>
    <t>EPS8443</t>
  </si>
  <si>
    <t>892 Units</t>
  </si>
  <si>
    <r>
      <t xml:space="preserve">Phase 1 - 48 units
Phase 2 - 19 units
Phase 3 - 18 units 
Phase 4 - 18 units Phase 5 - 16 units Phase 6 - 16 units Phase 7 - 21 units </t>
    </r>
    <r>
      <rPr>
        <b/>
        <sz val="9"/>
        <color theme="4"/>
        <rFont val="Calibri"/>
        <family val="2"/>
        <scheme val="minor"/>
      </rPr>
      <t>Total - 156 units</t>
    </r>
  </si>
  <si>
    <t>5645
Newstar:
5681 Birney 5645-1
5629 Birney 5645-2</t>
  </si>
  <si>
    <t>BL</t>
  </si>
  <si>
    <r>
      <t xml:space="preserve">ONE BURRARD PLACE
(OFFICE STRATA) 
</t>
    </r>
    <r>
      <rPr>
        <sz val="9"/>
        <color theme="1"/>
        <rFont val="Calibri"/>
        <family val="2"/>
        <scheme val="minor"/>
      </rPr>
      <t>1281 Hornby Street
Vancouver, BC 
V6Z 0G8</t>
    </r>
  </si>
  <si>
    <t>EPS8297</t>
  </si>
  <si>
    <r>
      <t xml:space="preserve">5446
</t>
    </r>
    <r>
      <rPr>
        <b/>
        <sz val="9"/>
        <color rgb="FFFF0000"/>
        <rFont val="Calibri"/>
        <family val="2"/>
        <scheme val="minor"/>
      </rPr>
      <t>NLM as of March 31, 2022</t>
    </r>
  </si>
  <si>
    <t>EPS8529</t>
  </si>
  <si>
    <t>EPS8052</t>
  </si>
  <si>
    <t>326 Units</t>
  </si>
  <si>
    <t>EPS8723</t>
  </si>
  <si>
    <t>199 Units</t>
  </si>
  <si>
    <r>
      <t xml:space="preserve">MCKENZIE MEWS
</t>
    </r>
    <r>
      <rPr>
        <sz val="9"/>
        <color theme="1"/>
        <rFont val="Calibri"/>
        <family val="2"/>
        <scheme val="minor"/>
      </rPr>
      <t xml:space="preserve">2267 McKenzie Road
Abbotsford, BC
V2S 0M9 </t>
    </r>
  </si>
  <si>
    <r>
      <t xml:space="preserve">HUNTER
</t>
    </r>
    <r>
      <rPr>
        <sz val="9"/>
        <color theme="1"/>
        <rFont val="Calibri"/>
        <family val="2"/>
        <scheme val="minor"/>
      </rPr>
      <t>East Tower -  1471 Hunter Street
North Vancouver, BC V7J 1H3
West Tower -  1401 Hunter Street
North Vancouver, BC
Townhouses - 1431-1455 Hunter Street
North Vancouver, BC
1401-1479 Hunter Street
North Vancouver, BC</t>
    </r>
  </si>
  <si>
    <t>5658
Newstar:
5656-C</t>
  </si>
  <si>
    <t>123 Units</t>
  </si>
  <si>
    <r>
      <t xml:space="preserve">CLUB ONE
</t>
    </r>
    <r>
      <rPr>
        <sz val="9"/>
        <color theme="1"/>
        <rFont val="Calibri"/>
        <family val="2"/>
        <scheme val="minor"/>
      </rPr>
      <t>1289 Hornby Street
 Vancouver, B.C. 
V6Z 1W2</t>
    </r>
  </si>
  <si>
    <t>EPS8757</t>
  </si>
  <si>
    <r>
      <t xml:space="preserve">ONE BURRARD PLACE
(RESIDENTIAL STRATA)
</t>
    </r>
    <r>
      <rPr>
        <sz val="9"/>
        <color theme="1"/>
        <rFont val="Calibri"/>
        <family val="2"/>
        <scheme val="minor"/>
      </rPr>
      <t>1289 Hornby Street
 Vancouver, B.C. 
V6Z 0G7</t>
    </r>
  </si>
  <si>
    <r>
      <t xml:space="preserve">GEORGETOWN ONE
</t>
    </r>
    <r>
      <rPr>
        <sz val="9"/>
        <color theme="1"/>
        <rFont val="Calibri"/>
        <family val="2"/>
        <scheme val="minor"/>
      </rPr>
      <t>13685 102 Avenue, Surrey 
Townhouses - 10225 Whalley Blvd, Surrey</t>
    </r>
  </si>
  <si>
    <t>EPS7847</t>
  </si>
  <si>
    <t>351 Units</t>
  </si>
  <si>
    <r>
      <t xml:space="preserve">THE GRANDE AT SUTERBROOK
</t>
    </r>
    <r>
      <rPr>
        <sz val="9"/>
        <color theme="4"/>
        <rFont val="Calibri"/>
        <family val="2"/>
        <scheme val="minor"/>
      </rPr>
      <t>Tower A – 305 Morrissey Road, Port Moody V3H 0M3
Tower B – 308 Morrissey Road, Port Moody V3H 0M2</t>
    </r>
  </si>
  <si>
    <t xml:space="preserve">5661
Newstar:
Phase 1: 9399 Alexandra Road 
Phase 2: 9311 Alexandra Road 
Phase 3: 9366 Tomicki Avenue
Phase 4: 9388 Tomicki Avenue </t>
  </si>
  <si>
    <t xml:space="preserve">5664
Newstar:
5664-K: 6233 Katsura Joint 
5664-KA: 6233 Katsura Apartment 
5664-S: 9133 Hemlock Joint 
5664-SA:  9133 Hemlock Apartment </t>
  </si>
  <si>
    <r>
      <t xml:space="preserve">1335 HOWE
</t>
    </r>
    <r>
      <rPr>
        <sz val="9"/>
        <color theme="4"/>
        <rFont val="Calibri"/>
        <family val="2"/>
        <scheme val="minor"/>
      </rPr>
      <t>1335 Howe Street
Vancouver, B.C. 
V6Z 0H1</t>
    </r>
  </si>
  <si>
    <t>136 Units</t>
  </si>
  <si>
    <t>FA</t>
  </si>
  <si>
    <r>
      <t xml:space="preserve">5660
</t>
    </r>
    <r>
      <rPr>
        <b/>
        <sz val="9"/>
        <color rgb="FFFF0000"/>
        <rFont val="Calibri"/>
        <family val="2"/>
        <scheme val="minor"/>
      </rPr>
      <t>NLM as of August 31, 2022
Remi Realty</t>
    </r>
  </si>
  <si>
    <r>
      <t xml:space="preserve">5669
</t>
    </r>
    <r>
      <rPr>
        <b/>
        <sz val="9"/>
        <color rgb="FFFF0000"/>
        <rFont val="Calibri"/>
        <family val="2"/>
        <scheme val="minor"/>
      </rPr>
      <t>NLM as of July 17, 2022</t>
    </r>
    <r>
      <rPr>
        <b/>
        <sz val="9"/>
        <color theme="1"/>
        <rFont val="Calibri"/>
        <family val="2"/>
        <scheme val="minor"/>
      </rPr>
      <t xml:space="preserve">
</t>
    </r>
    <r>
      <rPr>
        <b/>
        <sz val="9"/>
        <color rgb="FFFF0000"/>
        <rFont val="Calibri"/>
        <family val="2"/>
        <scheme val="minor"/>
      </rPr>
      <t>Remi Realty</t>
    </r>
  </si>
  <si>
    <t>CLUB 
(PART OF ONE BURRARD PLACE)</t>
  </si>
  <si>
    <r>
      <t xml:space="preserve">THE JERICHO
</t>
    </r>
    <r>
      <rPr>
        <sz val="9"/>
        <color theme="1"/>
        <rFont val="Calibri"/>
        <family val="2"/>
        <scheme val="minor"/>
      </rPr>
      <t>20362 - 72B Avenue 
Langley, BC 
V2Y 5K4</t>
    </r>
  </si>
  <si>
    <r>
      <t xml:space="preserve">ALBA
</t>
    </r>
    <r>
      <rPr>
        <sz val="9"/>
        <color theme="1"/>
        <rFont val="Calibri"/>
        <family val="2"/>
        <scheme val="minor"/>
      </rPr>
      <t>2345 Rindall Avenue
Port Coquitlam, BC
V3C 0T1</t>
    </r>
  </si>
  <si>
    <t>EPS8883</t>
  </si>
  <si>
    <t>NW1374</t>
  </si>
  <si>
    <t>74 Units</t>
  </si>
  <si>
    <r>
      <t xml:space="preserve">X61 Commercial (RENTAL)
</t>
    </r>
    <r>
      <rPr>
        <sz val="9"/>
        <rFont val="Calibri"/>
        <family val="2"/>
        <scheme val="minor"/>
      </rPr>
      <t>1061 Marine Drive
North Vancouver, BC
V7P 1S6</t>
    </r>
  </si>
  <si>
    <r>
      <t xml:space="preserve">5569
</t>
    </r>
    <r>
      <rPr>
        <b/>
        <sz val="9"/>
        <color rgb="FFFF0000"/>
        <rFont val="Calibri"/>
        <family val="2"/>
        <scheme val="minor"/>
      </rPr>
      <t xml:space="preserve">NLM as of September 30, 2022
Quay Pacific </t>
    </r>
    <r>
      <rPr>
        <b/>
        <sz val="9"/>
        <rFont val="Calibri"/>
        <family val="2"/>
        <scheme val="minor"/>
      </rPr>
      <t xml:space="preserve">
5569-1 (townhome)
5569-2 (townhome)
5569-3 (apartments)</t>
    </r>
  </si>
  <si>
    <r>
      <t xml:space="preserve">5591
</t>
    </r>
    <r>
      <rPr>
        <b/>
        <sz val="9"/>
        <color rgb="FFFF0000"/>
        <rFont val="Calibri"/>
        <family val="2"/>
        <scheme val="minor"/>
      </rPr>
      <t xml:space="preserve">NLM as of September 30, 2022
Associa BC </t>
    </r>
  </si>
  <si>
    <t>EPS7678</t>
  </si>
  <si>
    <t>PHASE 1 – 29
PHASE 2 – 28
PHASE 3 – 7
PHASE 4 – 18
TOTAL – 82 Units</t>
  </si>
  <si>
    <t>PHASED STRATA</t>
  </si>
  <si>
    <t xml:space="preserve">A non-refundable move-in and move-out fee of $250.00 will be charged to a strata lot for every move into or out of a strata lot, whenever a change of Owner on title, and whenever a change of tenants or occupants of the strata lot occur. </t>
  </si>
  <si>
    <t xml:space="preserve">A non-refundable move-in and move-out fee of $250.00 will be charged to a strata lot for every move into or out of a strata lot, whenever a change of Owner on title, and whenever a change of tenants or occupants of the strata lot occur. 
</t>
  </si>
  <si>
    <t>Concierge
concierge@kingscrossing1.com
604-655-1292</t>
  </si>
  <si>
    <r>
      <rPr>
        <b/>
        <sz val="9"/>
        <rFont val="Calibri"/>
        <family val="2"/>
        <scheme val="minor"/>
      </rPr>
      <t>CRESCENT COURT</t>
    </r>
    <r>
      <rPr>
        <sz val="9"/>
        <rFont val="Calibri"/>
        <family val="2"/>
        <scheme val="minor"/>
      </rPr>
      <t xml:space="preserve">
8725 University Crescent
Burnaby, BC
V5A 0G3
8761 University Crescent
Burnaby, BC</t>
    </r>
  </si>
  <si>
    <t>EPS8817</t>
  </si>
  <si>
    <r>
      <t xml:space="preserve">LA MENTA
</t>
    </r>
    <r>
      <rPr>
        <sz val="9"/>
        <color theme="1"/>
        <rFont val="Calibri"/>
        <family val="2"/>
        <scheme val="minor"/>
      </rPr>
      <t>1658 East 5th Avenue
1660 East 5th Avenue
Vancouver, BC</t>
    </r>
  </si>
  <si>
    <t xml:space="preserve">  A security guard must be hired for all moves in and out of the building.  The person moving into/out of the building must pay:
i) 	a $200.00 non-refundable fee prior to a move-in or move-out. 
ii) 	a $150.00 non-refundable fee to the security guard</t>
  </si>
  <si>
    <t>A security guard must be hired for all moves in and out of the building.  The person moving into/out of the building must pay:
i) 	a $200.00 non-refundable fee prior to a move-in or move-out. 
ii) 	a $150.00 non-refundable fee to the security guard</t>
  </si>
  <si>
    <r>
      <t xml:space="preserve">5686
</t>
    </r>
    <r>
      <rPr>
        <b/>
        <sz val="9"/>
        <color rgb="FFFF0000"/>
        <rFont val="Calibri"/>
        <family val="2"/>
        <scheme val="minor"/>
      </rPr>
      <t>NLM as of October 31, 2022</t>
    </r>
    <r>
      <rPr>
        <b/>
        <sz val="9"/>
        <color theme="1"/>
        <rFont val="Calibri"/>
        <family val="2"/>
        <scheme val="minor"/>
      </rPr>
      <t xml:space="preserve">
</t>
    </r>
    <r>
      <rPr>
        <b/>
        <sz val="9"/>
        <color rgb="FFFF0000"/>
        <rFont val="Calibri"/>
        <family val="2"/>
        <scheme val="minor"/>
      </rPr>
      <t>Dwell Property Management</t>
    </r>
  </si>
  <si>
    <r>
      <t xml:space="preserve">5652
</t>
    </r>
    <r>
      <rPr>
        <b/>
        <sz val="9"/>
        <color rgb="FFFF0000"/>
        <rFont val="Calibri"/>
        <family val="2"/>
        <scheme val="minor"/>
      </rPr>
      <t>NLM as of October 31, 2022</t>
    </r>
    <r>
      <rPr>
        <b/>
        <sz val="9"/>
        <color theme="1"/>
        <rFont val="Calibri"/>
        <family val="2"/>
        <scheme val="minor"/>
      </rPr>
      <t xml:space="preserve">
</t>
    </r>
    <r>
      <rPr>
        <b/>
        <sz val="9"/>
        <color rgb="FFFF0000"/>
        <rFont val="Calibri"/>
        <family val="2"/>
        <scheme val="minor"/>
      </rPr>
      <t>Fraser Campbell Property Management</t>
    </r>
  </si>
  <si>
    <r>
      <t xml:space="preserve">LINCOLN'S GATE
</t>
    </r>
    <r>
      <rPr>
        <sz val="9"/>
        <color theme="1"/>
        <rFont val="Calibri"/>
        <family val="2"/>
        <scheme val="minor"/>
      </rPr>
      <t xml:space="preserve">10620 150th Street
Surrey, B.C.
V3R 7S1
** UNITS 800 THRU 1318 ONLY **
</t>
    </r>
    <r>
      <rPr>
        <i/>
        <sz val="9"/>
        <color theme="1"/>
        <rFont val="Calibri"/>
        <family val="2"/>
        <scheme val="minor"/>
      </rPr>
      <t>Other units managed by other management companies; unit owner to confirm which.</t>
    </r>
  </si>
  <si>
    <t>$200
TH - $0</t>
  </si>
  <si>
    <r>
      <t xml:space="preserve">BELMONT PARK
</t>
    </r>
    <r>
      <rPr>
        <sz val="9"/>
        <color theme="1"/>
        <rFont val="Calibri"/>
        <family val="2"/>
        <scheme val="minor"/>
      </rPr>
      <t>8540 Citation Drive
TH: 8500, 8510, 8520, 8530, 8550, 8560, 8570 &amp; 8580 Citation Drive
Richmond, BC
V6Y 3A3</t>
    </r>
  </si>
  <si>
    <r>
      <t xml:space="preserve">5507
</t>
    </r>
    <r>
      <rPr>
        <b/>
        <sz val="9"/>
        <color rgb="FFFF0000"/>
        <rFont val="Calibri"/>
        <family val="2"/>
        <scheme val="minor"/>
      </rPr>
      <t>NLM as of October 31, 2022
Quay Pacific</t>
    </r>
  </si>
  <si>
    <r>
      <t xml:space="preserve">5530
</t>
    </r>
    <r>
      <rPr>
        <b/>
        <sz val="9"/>
        <color rgb="FFFF0000"/>
        <rFont val="Calibri"/>
        <family val="2"/>
        <scheme val="minor"/>
      </rPr>
      <t>NLM as of October 31, 2022</t>
    </r>
    <r>
      <rPr>
        <b/>
        <sz val="9"/>
        <rFont val="Calibri"/>
        <family val="2"/>
        <scheme val="minor"/>
      </rPr>
      <t xml:space="preserve">
</t>
    </r>
    <r>
      <rPr>
        <b/>
        <sz val="9"/>
        <color rgb="FFFF0000"/>
        <rFont val="Calibri"/>
        <family val="2"/>
        <scheme val="minor"/>
      </rPr>
      <t>Quay Pacific</t>
    </r>
  </si>
  <si>
    <t>Alliance Maintenance – Building Manager: Bobby Mudaliar 
(778) 389-7892 
bob@alliancecleans.com</t>
  </si>
  <si>
    <r>
      <t xml:space="preserve">5570
</t>
    </r>
    <r>
      <rPr>
        <b/>
        <sz val="9"/>
        <color rgb="FFFF0000"/>
        <rFont val="Calibri"/>
        <family val="2"/>
        <scheme val="minor"/>
      </rPr>
      <t>NLM as of November 30, 2022</t>
    </r>
    <r>
      <rPr>
        <b/>
        <sz val="9"/>
        <rFont val="Calibri"/>
        <family val="2"/>
        <scheme val="minor"/>
      </rPr>
      <t xml:space="preserve">
</t>
    </r>
    <r>
      <rPr>
        <b/>
        <sz val="9"/>
        <color rgb="FFFF0000"/>
        <rFont val="Calibri"/>
        <family val="2"/>
        <scheme val="minor"/>
      </rPr>
      <t>West Coast Property Management</t>
    </r>
    <r>
      <rPr>
        <b/>
        <sz val="9"/>
        <rFont val="Calibri"/>
        <family val="2"/>
        <scheme val="minor"/>
      </rPr>
      <t xml:space="preserve"> </t>
    </r>
  </si>
  <si>
    <t>5215
NLM as of November 30, 2022
Wynford Strata Management</t>
  </si>
  <si>
    <r>
      <t xml:space="preserve">5624
</t>
    </r>
    <r>
      <rPr>
        <b/>
        <sz val="9"/>
        <color rgb="FFFF0000"/>
        <rFont val="Calibri"/>
        <family val="2"/>
        <scheme val="minor"/>
      </rPr>
      <t>NLM as of November 30, 2022
Century 21 Prudential Estates</t>
    </r>
  </si>
  <si>
    <r>
      <t xml:space="preserve">5625
</t>
    </r>
    <r>
      <rPr>
        <b/>
        <sz val="9"/>
        <color rgb="FFFF0000"/>
        <rFont val="Calibri"/>
        <family val="2"/>
        <scheme val="minor"/>
      </rPr>
      <t>NLM as of November 30, 2022</t>
    </r>
    <r>
      <rPr>
        <b/>
        <sz val="9"/>
        <color theme="1"/>
        <rFont val="Calibri"/>
        <family val="2"/>
        <scheme val="minor"/>
      </rPr>
      <t xml:space="preserve">
</t>
    </r>
    <r>
      <rPr>
        <b/>
        <sz val="9"/>
        <color rgb="FFFF0000"/>
        <rFont val="Calibri"/>
        <family val="2"/>
        <scheme val="minor"/>
      </rPr>
      <t>Century 21 Prudential Estates</t>
    </r>
  </si>
  <si>
    <t>Building Manager
Peter Shu
604-363-9158
thespot@rservice.ca</t>
  </si>
  <si>
    <t>EPS5393</t>
  </si>
  <si>
    <t>2 Commercial Strata Lots</t>
  </si>
  <si>
    <r>
      <t xml:space="preserve">5382
</t>
    </r>
    <r>
      <rPr>
        <sz val="9"/>
        <color rgb="FFFF0000"/>
        <rFont val="Calibri"/>
        <family val="2"/>
      </rPr>
      <t xml:space="preserve">5382-W (West Tower)
5382-N (North Tower)
</t>
    </r>
    <r>
      <rPr>
        <b/>
        <sz val="9"/>
        <color rgb="FFFF0000"/>
        <rFont val="Calibri"/>
        <family val="2"/>
      </rPr>
      <t>NLM as of January 31, 2023</t>
    </r>
    <r>
      <rPr>
        <b/>
        <sz val="9"/>
        <color rgb="FFFF0000"/>
        <rFont val="Calibri"/>
        <family val="2"/>
        <scheme val="minor"/>
      </rPr>
      <t xml:space="preserve">
FirstService Residential</t>
    </r>
  </si>
  <si>
    <t>CONCIERGE 
Altaf
etoileconcierge@rservice.ca
604-786-7171
Building Manager
Oscar Wende
778-991-5533
etoilebm@rservice.ca</t>
  </si>
  <si>
    <r>
      <t xml:space="preserve">5454
</t>
    </r>
    <r>
      <rPr>
        <b/>
        <sz val="9"/>
        <color rgb="FFFF0000"/>
        <rFont val="Calibri"/>
        <family val="2"/>
        <scheme val="minor"/>
      </rPr>
      <t>NLM</t>
    </r>
  </si>
  <si>
    <t>SHAW SABBEY
(Insurance on 5104)</t>
  </si>
  <si>
    <t>EPS6752</t>
  </si>
  <si>
    <t>Phase One – 93 Units 
Phase Two – 86 Units</t>
  </si>
  <si>
    <r>
      <t xml:space="preserve">GEORGE
</t>
    </r>
    <r>
      <rPr>
        <sz val="9"/>
        <color theme="1"/>
        <rFont val="Calibri"/>
        <family val="2"/>
        <scheme val="minor"/>
      </rPr>
      <t>3018 &amp; 3038 St George Street 
Port Moody, BC
V3H 0L3</t>
    </r>
  </si>
  <si>
    <t>4 Commercial Strata Lots</t>
  </si>
  <si>
    <r>
      <t xml:space="preserve">EPS5394 (ASP 4)
</t>
    </r>
    <r>
      <rPr>
        <sz val="9"/>
        <color theme="1"/>
        <rFont val="Calibri"/>
        <family val="2"/>
        <scheme val="minor"/>
      </rPr>
      <t>6928 Pearson Way
Richmond, B.C.
V7C 0C9</t>
    </r>
  </si>
  <si>
    <t>EPS5394</t>
  </si>
  <si>
    <t xml:space="preserve">Concierge 
Email Address: riva3concierge@rservice.ca
Phone #: 604-207-0632
Cell #: 604-831-7983 (do not give out)
Building Manager:
Russell Jung 
604-928-4223
russell.jung@allbrightservices.ca
</t>
  </si>
  <si>
    <t>$100.00 non-refundable
$190 non-refundable security guard fee
$300.00 non-refundable security guard fee on a statutory holiday
(b) must provide a $100.00 non-refundable fee prior to a move-in or move-out and a $190 non-refundable security guard fee prior to a move-in or move-out. If the booking is on a statutory holiday, the non-refundable security guard fee is $300. There will be no move-in or move-out fee applicable to townhouses</t>
  </si>
  <si>
    <r>
      <t xml:space="preserve">CEDAR CREEK 2 – THE SIGNATURE COLLECTION
</t>
    </r>
    <r>
      <rPr>
        <sz val="9"/>
        <color theme="1"/>
        <rFont val="Calibri"/>
        <family val="2"/>
        <scheme val="minor"/>
      </rPr>
      <t>7588 16th Street, Burnaby, BC V3N 0H8
7599 15th Street, Burnaby, BC V3N 0H9</t>
    </r>
  </si>
  <si>
    <t>EPS8576</t>
  </si>
  <si>
    <t>PHASE 1 – 128
PHASE 2 - 133</t>
  </si>
  <si>
    <t>SY</t>
  </si>
  <si>
    <r>
      <t xml:space="preserve">5649
</t>
    </r>
    <r>
      <rPr>
        <b/>
        <sz val="9"/>
        <color rgb="FFFF0000"/>
        <rFont val="Calibri"/>
        <family val="2"/>
        <scheme val="minor"/>
      </rPr>
      <t>NLM as of February 28, 2023</t>
    </r>
    <r>
      <rPr>
        <b/>
        <sz val="9"/>
        <color theme="1"/>
        <rFont val="Calibri"/>
        <family val="2"/>
        <scheme val="minor"/>
      </rPr>
      <t xml:space="preserve">
</t>
    </r>
    <r>
      <rPr>
        <b/>
        <sz val="9"/>
        <color rgb="FFFF0000"/>
        <rFont val="Calibri"/>
        <family val="2"/>
        <scheme val="minor"/>
      </rPr>
      <t>FirstService Residential</t>
    </r>
  </si>
  <si>
    <r>
      <t xml:space="preserve">5653
</t>
    </r>
    <r>
      <rPr>
        <b/>
        <sz val="9"/>
        <color rgb="FFFF0000"/>
        <rFont val="Calibri"/>
        <family val="2"/>
        <scheme val="minor"/>
      </rPr>
      <t xml:space="preserve">NLM as of February 28, 2023
Associa </t>
    </r>
    <r>
      <rPr>
        <b/>
        <sz val="9"/>
        <color theme="1"/>
        <rFont val="Calibri"/>
        <family val="2"/>
        <scheme val="minor"/>
      </rPr>
      <t xml:space="preserve">
</t>
    </r>
  </si>
  <si>
    <t>EPS8884</t>
  </si>
  <si>
    <t>16 TH</t>
  </si>
  <si>
    <r>
      <t xml:space="preserve">CHANNEL
</t>
    </r>
    <r>
      <rPr>
        <sz val="9"/>
        <rFont val="Calibri"/>
        <family val="2"/>
        <scheme val="minor"/>
      </rPr>
      <t>629 S Dyke Road, New Westminster</t>
    </r>
  </si>
  <si>
    <r>
      <t xml:space="preserve">TSAWWASSEN WELLNESS CENTRE
</t>
    </r>
    <r>
      <rPr>
        <sz val="9"/>
        <color theme="8" tint="-0.249977111117893"/>
        <rFont val="Calibri"/>
        <family val="2"/>
        <scheme val="minor"/>
      </rPr>
      <t>2221 Cormorant Drive
Tsawwassen, BC</t>
    </r>
  </si>
  <si>
    <t>EPS8896</t>
  </si>
  <si>
    <t>EPS9089</t>
  </si>
  <si>
    <t>64 Units</t>
  </si>
  <si>
    <t>157 Units</t>
  </si>
  <si>
    <t>Owner's own insurance and we manage the rental for the commercial units
(RENTAL project)</t>
  </si>
  <si>
    <t>$250.00
All new owners/tenants must pay a one-time move-in fee of $250.00 payable to the Strata Corporation upon move-in date.  This non-refundable fee is used to offset accidental damage done to the common areas when moving into the project. Any direct damage caused by a resident moving into the project will result in the resident being assessed the cost of remedying this damage. The amount of the move-in fee does not limit the amount of liability for damage caused on a move-in.</t>
  </si>
  <si>
    <r>
      <rPr>
        <b/>
        <sz val="9"/>
        <rFont val="Calibri"/>
        <family val="2"/>
        <scheme val="minor"/>
      </rPr>
      <t>THE TOWNHOMES AT WEST COAST ESTATES</t>
    </r>
    <r>
      <rPr>
        <sz val="9"/>
        <rFont val="Calibri"/>
        <family val="2"/>
        <scheme val="minor"/>
      </rPr>
      <t xml:space="preserve">
4745 Spruce Way 
Tsawwassen, BC  
V4M 0E8</t>
    </r>
  </si>
  <si>
    <t>EPS9194</t>
  </si>
  <si>
    <t>22 Townhouse Units</t>
  </si>
  <si>
    <r>
      <t xml:space="preserve">5602
</t>
    </r>
    <r>
      <rPr>
        <b/>
        <sz val="9"/>
        <color rgb="FFFF0000"/>
        <rFont val="Calibri"/>
        <family val="2"/>
        <scheme val="minor"/>
      </rPr>
      <t xml:space="preserve">NLM as of March 31, 2023
Associa </t>
    </r>
  </si>
  <si>
    <t>EPS8270</t>
  </si>
  <si>
    <t>EPS8061</t>
  </si>
  <si>
    <t>558 Units</t>
  </si>
  <si>
    <r>
      <rPr>
        <b/>
        <sz val="9"/>
        <rFont val="Calibri"/>
        <family val="2"/>
        <scheme val="minor"/>
      </rPr>
      <t>SAVOY</t>
    </r>
    <r>
      <rPr>
        <sz val="9"/>
        <rFont val="Calibri"/>
        <family val="2"/>
        <scheme val="minor"/>
      </rPr>
      <t xml:space="preserve">
4240 Cambie Street
Vancouver, BC, V5Z 0K6 </t>
    </r>
  </si>
  <si>
    <t>MCC</t>
  </si>
  <si>
    <r>
      <rPr>
        <b/>
        <sz val="9"/>
        <rFont val="Calibri"/>
        <family val="2"/>
        <scheme val="minor"/>
      </rPr>
      <t>CLARKE + COMO</t>
    </r>
    <r>
      <rPr>
        <sz val="9"/>
        <rFont val="Calibri"/>
        <family val="2"/>
        <scheme val="minor"/>
      </rPr>
      <t xml:space="preserve">
567 Clarke Road
Coquitlam, BC
V3J 0K7</t>
    </r>
  </si>
  <si>
    <t>EPS7495</t>
  </si>
  <si>
    <t>364 Units</t>
  </si>
  <si>
    <t>Building Manager:
Yeoman Halibas
Yeoman@nrgclean.ca
cell: 778-636-1731 (do not give out)
Concierge: Basu / Pragati
Cell: 604-315-8289
themarkconcierge@rservice.ca</t>
  </si>
  <si>
    <t>Concierge
604-786-7171
da.vinci@rservice.ca
Building Manager
davinci.manager@rservice.ca</t>
  </si>
  <si>
    <t>BCS4016</t>
  </si>
  <si>
    <t xml:space="preserve">256 Units </t>
  </si>
  <si>
    <t>Building Manager
Gabriel Chilella
hunter@rservice.ca
604-319-2225</t>
  </si>
  <si>
    <t xml:space="preserve">HUB CondoSure </t>
  </si>
  <si>
    <r>
      <rPr>
        <b/>
        <sz val="9"/>
        <rFont val="Calibri"/>
        <family val="2"/>
        <scheme val="minor"/>
      </rPr>
      <t>PARAMOUNT</t>
    </r>
    <r>
      <rPr>
        <sz val="9"/>
        <rFont val="Calibri"/>
        <family val="2"/>
        <scheme val="minor"/>
      </rPr>
      <t xml:space="preserve">
6320 No. 3 Road, Richmond, BC V6Y 0L5
6328 No. 3 Road, Richmond, BC V6Y 0L6 
8133 Cook Road, Richmond, BC V6Y 0L7
</t>
    </r>
  </si>
  <si>
    <t xml:space="preserve">Eugenio H. Dela Cruz
778-939-4468
savilerow@rservice.ca
</t>
  </si>
  <si>
    <r>
      <t xml:space="preserve">5623
</t>
    </r>
    <r>
      <rPr>
        <b/>
        <sz val="9"/>
        <color rgb="FFFF0000"/>
        <rFont val="Calibri"/>
        <family val="2"/>
        <scheme val="minor"/>
      </rPr>
      <t>NLM as of April 30, 2023
West Coast Property Mangement</t>
    </r>
  </si>
  <si>
    <r>
      <t xml:space="preserve">5622
</t>
    </r>
    <r>
      <rPr>
        <b/>
        <sz val="9"/>
        <color rgb="FFFF0000"/>
        <rFont val="Calibri"/>
        <family val="2"/>
        <scheme val="minor"/>
      </rPr>
      <t>NLM as of March 31, 2023
West Coast Property Mangement</t>
    </r>
  </si>
  <si>
    <r>
      <t xml:space="preserve">5659
</t>
    </r>
    <r>
      <rPr>
        <b/>
        <sz val="9"/>
        <color rgb="FFFF0000"/>
        <rFont val="Calibri"/>
        <family val="2"/>
        <scheme val="minor"/>
      </rPr>
      <t>NLM as of March 31, 2023</t>
    </r>
    <r>
      <rPr>
        <b/>
        <sz val="9"/>
        <color theme="1"/>
        <rFont val="Calibri"/>
        <family val="2"/>
        <scheme val="minor"/>
      </rPr>
      <t xml:space="preserve">
</t>
    </r>
    <r>
      <rPr>
        <b/>
        <sz val="9"/>
        <color rgb="FFFF0000"/>
        <rFont val="Calibri"/>
        <family val="2"/>
        <scheme val="minor"/>
      </rPr>
      <t>West Coast Property Mangement</t>
    </r>
  </si>
  <si>
    <r>
      <t xml:space="preserve">Phase 1 - 76 units
Phase 2 - 123 units
Phase 3 - 93 units
Phase 4 - 59 units
Phase 5 - 70 units
</t>
    </r>
    <r>
      <rPr>
        <b/>
        <sz val="9"/>
        <rFont val="Calibri"/>
        <family val="2"/>
        <scheme val="minor"/>
      </rPr>
      <t xml:space="preserve">199 Units (right now)
421 TH Units in total </t>
    </r>
  </si>
  <si>
    <t>5718
5718-1: 6320 No. 3 Road
5718-2: 6328 No. 3 Road
5718-3: 8133 Cook Road</t>
  </si>
  <si>
    <r>
      <rPr>
        <b/>
        <sz val="9"/>
        <rFont val="Calibri"/>
        <family val="2"/>
        <scheme val="minor"/>
      </rPr>
      <t xml:space="preserve">FLEETWOOD VILLAGE </t>
    </r>
    <r>
      <rPr>
        <sz val="9"/>
        <rFont val="Calibri"/>
        <family val="2"/>
        <scheme val="minor"/>
      </rPr>
      <t xml:space="preserve">
15835 85 Avenue, Surrey, BC V4N 6W6
15825 85 Avenue, Surrey, BC V4N 6W9
15858 Fraser Highway
15815 85 Avenue
15848 Fraser Highway
Surrey, BC</t>
    </r>
  </si>
  <si>
    <t>5717
Phase 1: 15835 85 Avenue
Phase 2: 15825 85 Avenue
Phase 3: 15858 Fraser Highway
Phase 4: 15815 85 Avenue
Phase 5: 15848 Fraser Highway</t>
  </si>
  <si>
    <t>Acera</t>
  </si>
  <si>
    <t>EPS9407</t>
  </si>
  <si>
    <t>Building 1 - 88 Units
Building 2 - 87 Units
TOTAL - 175 units</t>
  </si>
  <si>
    <t>EPS9131</t>
  </si>
  <si>
    <t>12 Units</t>
  </si>
  <si>
    <t>Building Manager: Pete Duchesne 
pduchesne@allbrightservices.ca
604-802-7150</t>
  </si>
  <si>
    <r>
      <t xml:space="preserve">5207
</t>
    </r>
    <r>
      <rPr>
        <b/>
        <sz val="9"/>
        <color rgb="FFFF0000"/>
        <rFont val="Calibri"/>
        <family val="2"/>
        <scheme val="minor"/>
      </rPr>
      <t>NLM as of May 31, 2023</t>
    </r>
    <r>
      <rPr>
        <b/>
        <sz val="9"/>
        <rFont val="Calibri"/>
        <family val="2"/>
        <scheme val="minor"/>
      </rPr>
      <t xml:space="preserve">
</t>
    </r>
    <r>
      <rPr>
        <b/>
        <sz val="9"/>
        <color rgb="FFFF0000"/>
        <rFont val="Calibri"/>
        <family val="2"/>
        <scheme val="minor"/>
      </rPr>
      <t xml:space="preserve">Quay Pacific </t>
    </r>
  </si>
  <si>
    <t>EPS9413</t>
  </si>
  <si>
    <r>
      <rPr>
        <b/>
        <sz val="9"/>
        <rFont val="Calibri"/>
        <family val="2"/>
        <scheme val="minor"/>
      </rPr>
      <t>MAGNOLIA AND CASUARINA AT HAMPTONS PARK</t>
    </r>
    <r>
      <rPr>
        <sz val="9"/>
        <rFont val="Calibri"/>
        <family val="2"/>
        <scheme val="minor"/>
      </rPr>
      <t xml:space="preserve">
9180 Hemlock Drive – V6Y 4J5
9188 Hemlock Drive – V6Y 4J7
Richmond, BC</t>
    </r>
  </si>
  <si>
    <t>BCS1691</t>
  </si>
  <si>
    <t>238 Units</t>
  </si>
  <si>
    <r>
      <rPr>
        <b/>
        <sz val="9"/>
        <rFont val="Calibri"/>
        <family val="2"/>
        <scheme val="minor"/>
      </rPr>
      <t>PATINA</t>
    </r>
    <r>
      <rPr>
        <sz val="9"/>
        <rFont val="Calibri"/>
        <family val="2"/>
        <scheme val="minor"/>
      </rPr>
      <t xml:space="preserve">
1028 Barclay Street
Vancouver, BC
V6E 0B1</t>
    </r>
  </si>
  <si>
    <r>
      <t xml:space="preserve">5696
5696-1: 5189 Cambie
5696-2: 5289 Cambie plus the 5 TH 
</t>
    </r>
    <r>
      <rPr>
        <b/>
        <sz val="9"/>
        <color rgb="FFFF0000"/>
        <rFont val="Calibri"/>
        <family val="2"/>
        <scheme val="minor"/>
      </rPr>
      <t xml:space="preserve">NLM as of June 30, 2023 
TML Management Group </t>
    </r>
  </si>
  <si>
    <r>
      <t xml:space="preserve">5694
Newstar:
5694-E: 1471 Hunter Street
5694-W: 1401 Hunter Street 
5694-TH: 1431 to 1455 Hunter Street SL1 to SL15 (Townhouses)
</t>
    </r>
    <r>
      <rPr>
        <b/>
        <sz val="9"/>
        <color rgb="FFFF0000"/>
        <rFont val="Calibri"/>
        <family val="2"/>
        <scheme val="minor"/>
      </rPr>
      <t>NLM as of June 30, 2023</t>
    </r>
    <r>
      <rPr>
        <b/>
        <sz val="9"/>
        <color theme="1"/>
        <rFont val="Calibri"/>
        <family val="2"/>
        <scheme val="minor"/>
      </rPr>
      <t xml:space="preserve">
</t>
    </r>
    <r>
      <rPr>
        <b/>
        <sz val="9"/>
        <color rgb="FFFF0000"/>
        <rFont val="Calibri"/>
        <family val="2"/>
        <scheme val="minor"/>
      </rPr>
      <t xml:space="preserve">Wynford Group </t>
    </r>
  </si>
  <si>
    <t xml:space="preserve">$300.00
$300.00 cash damage deposit
</t>
  </si>
  <si>
    <t xml:space="preserve">$0.00
$300.00 cash damage deposit
</t>
  </si>
  <si>
    <t xml:space="preserve">KZ
</t>
  </si>
  <si>
    <t xml:space="preserve">SC
</t>
  </si>
  <si>
    <r>
      <rPr>
        <b/>
        <sz val="9"/>
        <rFont val="Calibri"/>
        <family val="2"/>
        <scheme val="minor"/>
      </rPr>
      <t>BRIDGEPORT BUSINESS CENTER</t>
    </r>
    <r>
      <rPr>
        <sz val="9"/>
        <rFont val="Calibri"/>
        <family val="2"/>
        <scheme val="minor"/>
      </rPr>
      <t xml:space="preserve">
2777 Jow Street
Richmond, BC</t>
    </r>
  </si>
  <si>
    <t>EPS9314</t>
  </si>
  <si>
    <t>51 units</t>
  </si>
  <si>
    <t>COMMERCIAL STRATA</t>
  </si>
  <si>
    <r>
      <t xml:space="preserve">CAMBIE GARDENS
</t>
    </r>
    <r>
      <rPr>
        <sz val="9"/>
        <color theme="4"/>
        <rFont val="Calibri"/>
        <family val="2"/>
        <scheme val="minor"/>
      </rPr>
      <t>7433 Cambie Street (East Tower)
Vancouver, BC
V6P 0J8
7418 Paulson Street (West Tower)
Vancouver, BC
V6P 0K2</t>
    </r>
  </si>
  <si>
    <t>307 Units</t>
  </si>
  <si>
    <r>
      <t xml:space="preserve">5348
</t>
    </r>
    <r>
      <rPr>
        <b/>
        <sz val="9"/>
        <color rgb="FFFF0000"/>
        <rFont val="Calibri"/>
        <family val="2"/>
        <scheme val="minor"/>
      </rPr>
      <t>NLM as of July 31, 2023</t>
    </r>
    <r>
      <rPr>
        <b/>
        <sz val="9"/>
        <rFont val="Calibri"/>
        <family val="2"/>
        <scheme val="minor"/>
      </rPr>
      <t xml:space="preserve">
</t>
    </r>
    <r>
      <rPr>
        <b/>
        <sz val="9"/>
        <color rgb="FFFF0000"/>
        <rFont val="Calibri"/>
        <family val="2"/>
        <scheme val="minor"/>
      </rPr>
      <t xml:space="preserve">Remi Realty Inc. </t>
    </r>
  </si>
  <si>
    <r>
      <t xml:space="preserve">5648
</t>
    </r>
    <r>
      <rPr>
        <b/>
        <sz val="9"/>
        <color rgb="FFFF0000"/>
        <rFont val="Calibri"/>
        <family val="2"/>
        <scheme val="minor"/>
      </rPr>
      <t>NLM as of July 31, 2023</t>
    </r>
    <r>
      <rPr>
        <b/>
        <sz val="9"/>
        <color theme="1"/>
        <rFont val="Calibri"/>
        <family val="2"/>
        <scheme val="minor"/>
      </rPr>
      <t xml:space="preserve">
</t>
    </r>
    <r>
      <rPr>
        <b/>
        <sz val="9"/>
        <color rgb="FFFF0000"/>
        <rFont val="Calibri"/>
        <family val="2"/>
        <scheme val="minor"/>
      </rPr>
      <t>Strataco Management Ltd.</t>
    </r>
  </si>
  <si>
    <r>
      <t xml:space="preserve">5451
</t>
    </r>
    <r>
      <rPr>
        <b/>
        <sz val="9"/>
        <color rgb="FFFF0000"/>
        <rFont val="Calibri"/>
        <family val="2"/>
        <scheme val="minor"/>
      </rPr>
      <t>NLM as of July 31, 2023</t>
    </r>
    <r>
      <rPr>
        <b/>
        <sz val="9"/>
        <rFont val="Calibri"/>
        <family val="2"/>
        <scheme val="minor"/>
      </rPr>
      <t xml:space="preserve">
</t>
    </r>
    <r>
      <rPr>
        <b/>
        <sz val="9"/>
        <color rgb="FFFF0000"/>
        <rFont val="Calibri"/>
        <family val="2"/>
        <scheme val="minor"/>
      </rPr>
      <t>Prospice Realty</t>
    </r>
  </si>
  <si>
    <t xml:space="preserve">Adamo Pitassi 
(o) 778-887-3845
(c) 604-970-2479 (do not give out)
apitassi@rservice.ca </t>
  </si>
  <si>
    <r>
      <t xml:space="preserve">PORT &amp; MILL
</t>
    </r>
    <r>
      <rPr>
        <sz val="9"/>
        <rFont val="Calibri"/>
        <family val="2"/>
        <scheme val="minor"/>
      </rPr>
      <t>645 Como Lake Avenue 
 Coquitlam, BC
V3J 0N9
 648 Lea Avenue 
Coquitlam, BC
V3J 0P1</t>
    </r>
  </si>
  <si>
    <t>5724
5724-JT (TH Units 1-24) 
5724-JT: 9180 Hemlock Drive
5724-1: 9180 Hemlock
5724-2: 9188 Hemlock</t>
  </si>
  <si>
    <t>BFL Canda</t>
  </si>
  <si>
    <t>$200.00
$500 Refundable Damage Deposit required for move in and move out</t>
  </si>
  <si>
    <r>
      <rPr>
        <b/>
        <sz val="9"/>
        <color indexed="60"/>
        <rFont val="Calibri"/>
        <family val="2"/>
      </rPr>
      <t>PARK WEST</t>
    </r>
    <r>
      <rPr>
        <sz val="9"/>
        <color indexed="60"/>
        <rFont val="Calibri"/>
        <family val="2"/>
      </rPr>
      <t xml:space="preserve">
455 Beach Crescent
Vancouver, BC
V6Z 3E5
Townhomes
1455 Strathmore Mews
1465 Strathmore Mews
1475 Strathmore Mews</t>
    </r>
  </si>
  <si>
    <t>EPS5320</t>
  </si>
  <si>
    <t>239 Units</t>
  </si>
  <si>
    <t>222 Units</t>
  </si>
  <si>
    <t>17 Units</t>
  </si>
  <si>
    <t>Sectioned ASP</t>
  </si>
  <si>
    <r>
      <rPr>
        <b/>
        <sz val="9"/>
        <rFont val="Calibri"/>
        <family val="2"/>
        <scheme val="minor"/>
      </rPr>
      <t xml:space="preserve">SOPHORA AT THE PARK – JOINT </t>
    </r>
    <r>
      <rPr>
        <sz val="9"/>
        <rFont val="Calibri"/>
        <family val="2"/>
        <scheme val="minor"/>
      </rPr>
      <t xml:space="preserve">
1182 Westwood Street
Coquitlam, BC
V3B 0T9</t>
    </r>
  </si>
  <si>
    <r>
      <rPr>
        <b/>
        <sz val="9"/>
        <rFont val="Calibri"/>
        <family val="2"/>
        <scheme val="minor"/>
      </rPr>
      <t>SOPHORA AT THE PARK – RESIDENTIAL SECTION</t>
    </r>
    <r>
      <rPr>
        <sz val="9"/>
        <rFont val="Calibri"/>
        <family val="2"/>
        <scheme val="minor"/>
      </rPr>
      <t xml:space="preserve"> 
1182 Westwood Street
Coquitlam, BC
V3B 0T9</t>
    </r>
  </si>
  <si>
    <r>
      <rPr>
        <b/>
        <sz val="9"/>
        <rFont val="Calibri"/>
        <family val="2"/>
        <scheme val="minor"/>
      </rPr>
      <t>SOPHORA AT THE PARK – COMMERCIAL SECTION</t>
    </r>
    <r>
      <rPr>
        <sz val="9"/>
        <rFont val="Calibri"/>
        <family val="2"/>
        <scheme val="minor"/>
      </rPr>
      <t xml:space="preserve"> 
1182 Westwood Street
Coquitlam, BC
V3B 0T9</t>
    </r>
  </si>
  <si>
    <r>
      <t xml:space="preserve">TSAWWASSEN LANDING
</t>
    </r>
    <r>
      <rPr>
        <sz val="9"/>
        <color theme="4"/>
        <rFont val="Calibri"/>
        <family val="2"/>
        <scheme val="minor"/>
      </rPr>
      <t xml:space="preserve">4738 Hemlock Way
4662 Hemlock Way
Tsawwassen, B.C. 
V4M 0E3
</t>
    </r>
  </si>
  <si>
    <t>EPS9531</t>
  </si>
  <si>
    <t>Residential ASP</t>
  </si>
  <si>
    <r>
      <rPr>
        <b/>
        <sz val="9"/>
        <rFont val="Calibri"/>
        <family val="2"/>
        <scheme val="minor"/>
      </rPr>
      <t xml:space="preserve">RIVER PARK 2
ASP 5
</t>
    </r>
    <r>
      <rPr>
        <sz val="9"/>
        <rFont val="Calibri"/>
        <family val="2"/>
        <scheme val="minor"/>
      </rPr>
      <t>105 &amp; 110 6968 Pearson Way
Richmond, BC
V7C 0C8</t>
    </r>
  </si>
  <si>
    <t>EPS5395</t>
  </si>
  <si>
    <t xml:space="preserve">2 Units </t>
  </si>
  <si>
    <t>Commercial ASP</t>
  </si>
  <si>
    <t xml:space="preserve">CF
</t>
  </si>
  <si>
    <r>
      <t xml:space="preserve">5701
</t>
    </r>
    <r>
      <rPr>
        <b/>
        <sz val="9"/>
        <color rgb="FFFF0000"/>
        <rFont val="Calibri"/>
        <family val="2"/>
        <scheme val="minor"/>
      </rPr>
      <t>NLM as of September 30, 2023
Sutton Group – MetroLand Realty</t>
    </r>
  </si>
  <si>
    <r>
      <rPr>
        <b/>
        <sz val="9"/>
        <rFont val="Calibri"/>
        <family val="2"/>
        <scheme val="minor"/>
      </rPr>
      <t>LEGACY ON DUNBAR (COMMERCIAL REMAINDER)</t>
    </r>
    <r>
      <rPr>
        <sz val="9"/>
        <rFont val="Calibri"/>
        <family val="2"/>
        <scheme val="minor"/>
      </rPr>
      <t xml:space="preserve">
4402 – 4498 Dunbar Street
Vancouver, B.C. 
V6S 2G5</t>
    </r>
  </si>
  <si>
    <t>EPS9532</t>
  </si>
  <si>
    <t>Remainder</t>
  </si>
  <si>
    <r>
      <t xml:space="preserve">MAYNARDS BLOCK
5293W - </t>
    </r>
    <r>
      <rPr>
        <sz val="9"/>
        <rFont val="Calibri"/>
        <family val="2"/>
      </rPr>
      <t xml:space="preserve">445 West 2nd Avenue – The West Building
</t>
    </r>
    <r>
      <rPr>
        <b/>
        <sz val="9"/>
        <rFont val="Calibri"/>
        <family val="2"/>
      </rPr>
      <t>5293N</t>
    </r>
    <r>
      <rPr>
        <sz val="9"/>
        <rFont val="Calibri"/>
        <family val="2"/>
      </rPr>
      <t xml:space="preserve"> - 1919 Wylie Street – The North Building
</t>
    </r>
    <r>
      <rPr>
        <b/>
        <sz val="9"/>
        <rFont val="Calibri"/>
        <family val="2"/>
      </rPr>
      <t>5293S</t>
    </r>
    <r>
      <rPr>
        <sz val="9"/>
        <rFont val="Calibri"/>
        <family val="2"/>
      </rPr>
      <t xml:space="preserve"> - 429 West 2nd Avenue – The South/Heritage Building
</t>
    </r>
    <r>
      <rPr>
        <b/>
        <sz val="9"/>
        <rFont val="Calibri"/>
        <family val="2"/>
      </rPr>
      <t>5293T</t>
    </r>
    <r>
      <rPr>
        <sz val="9"/>
        <rFont val="Calibri"/>
        <family val="2"/>
      </rPr>
      <t xml:space="preserve"> - Townhouses Addresses:
408, 418, 428, 438, 448, 458, 468 West 1st Avenue – The North Building
Vancouver, B.C.</t>
    </r>
    <r>
      <rPr>
        <b/>
        <sz val="9"/>
        <rFont val="Calibri"/>
        <family val="2"/>
      </rPr>
      <t xml:space="preserve">
</t>
    </r>
  </si>
  <si>
    <t>EPS6996</t>
  </si>
  <si>
    <t>Normal</t>
  </si>
  <si>
    <r>
      <rPr>
        <b/>
        <sz val="9"/>
        <rFont val="Calibri"/>
        <family val="2"/>
        <scheme val="minor"/>
      </rPr>
      <t>AVANA</t>
    </r>
    <r>
      <rPr>
        <sz val="9"/>
        <rFont val="Calibri"/>
        <family val="2"/>
        <scheme val="minor"/>
      </rPr>
      <t xml:space="preserve">
678 Fairview Street 
Coquitlam, B.C.
V3J 0N1</t>
    </r>
  </si>
  <si>
    <r>
      <rPr>
        <b/>
        <sz val="9"/>
        <rFont val="Calibri"/>
        <family val="2"/>
        <scheme val="minor"/>
      </rPr>
      <t>PRESTON</t>
    </r>
    <r>
      <rPr>
        <sz val="9"/>
        <rFont val="Calibri"/>
        <family val="2"/>
        <scheme val="minor"/>
      </rPr>
      <t xml:space="preserve">
32690 - 14th Avenue
Mission, BC 
V2V 0K5</t>
    </r>
  </si>
  <si>
    <t>EPS9773</t>
  </si>
  <si>
    <t>EPS9925</t>
  </si>
  <si>
    <t>49 Units</t>
  </si>
  <si>
    <t xml:space="preserve">Normal </t>
  </si>
  <si>
    <t xml:space="preserve">Acera
Insurance part of 5365 </t>
  </si>
  <si>
    <r>
      <t xml:space="preserve">5554
5554-1 (28 East Royal Ave)
5554-2 (26 East Royal Ave)
</t>
    </r>
    <r>
      <rPr>
        <b/>
        <sz val="9"/>
        <color rgb="FFFF0000"/>
        <rFont val="Calibri"/>
        <family val="2"/>
        <scheme val="minor"/>
      </rPr>
      <t xml:space="preserve">NLM as of October 31, 2023
FirstService Residential </t>
    </r>
  </si>
  <si>
    <r>
      <rPr>
        <b/>
        <sz val="9"/>
        <rFont val="Calibri"/>
        <family val="2"/>
        <scheme val="minor"/>
      </rPr>
      <t>WEMBLEY</t>
    </r>
    <r>
      <rPr>
        <sz val="9"/>
        <rFont val="Calibri"/>
        <family val="2"/>
        <scheme val="minor"/>
      </rPr>
      <t xml:space="preserve">
4991 No. 5 Road
Richmond, B.C. 
V6X 0S9</t>
    </r>
  </si>
  <si>
    <t>EPS5423</t>
  </si>
  <si>
    <t>Phase 1 – 15 Units
Phase 2 – 16 Units
Phase 3 – 17 Units
Phase 4 – 29 Units
Phase 5 – 32 Units
TOTAL – 109 Units</t>
  </si>
  <si>
    <r>
      <rPr>
        <b/>
        <sz val="9"/>
        <rFont val="Calibri"/>
        <family val="2"/>
        <scheme val="minor"/>
      </rPr>
      <t>THE PARAMOUNT OFFICE</t>
    </r>
    <r>
      <rPr>
        <sz val="9"/>
        <rFont val="Calibri"/>
        <family val="2"/>
        <scheme val="minor"/>
      </rPr>
      <t xml:space="preserve">
6388 No. 3 Road
Richmond, BC
V6Y 0L4</t>
    </r>
  </si>
  <si>
    <t>EPS8060</t>
  </si>
  <si>
    <t xml:space="preserve">84 Units </t>
  </si>
  <si>
    <r>
      <t xml:space="preserve">5450
</t>
    </r>
    <r>
      <rPr>
        <b/>
        <sz val="9"/>
        <color rgb="FFFF0000"/>
        <rFont val="Calibri"/>
        <family val="2"/>
        <scheme val="minor"/>
      </rPr>
      <t>NLM as of January 8, 2024</t>
    </r>
  </si>
  <si>
    <t>SA</t>
  </si>
  <si>
    <t>LMS3131</t>
  </si>
  <si>
    <t>Sectioned Strata</t>
  </si>
  <si>
    <r>
      <rPr>
        <b/>
        <sz val="9"/>
        <rFont val="Calibri"/>
        <family val="2"/>
        <scheme val="minor"/>
      </rPr>
      <t>LEGACY ON DUNBAR (RESIDENTIAL)</t>
    </r>
    <r>
      <rPr>
        <sz val="9"/>
        <rFont val="Calibri"/>
        <family val="2"/>
        <scheme val="minor"/>
      </rPr>
      <t xml:space="preserve">
3596 West 28th Avenue
Vancouver, B.C. 
V6S 2G5</t>
    </r>
  </si>
  <si>
    <t xml:space="preserve">35 Rental Unit Building </t>
  </si>
  <si>
    <t xml:space="preserve">Rental Building </t>
  </si>
  <si>
    <t>KC</t>
  </si>
  <si>
    <t>Building Manager: 
Onofre Mejia
778-917-3656
themaxbuildingmanager@gmail.com
Concierge: 604-602-6751
Cell: 604-834-5851
Concierge's Fax: 604-608-2529
Email: maxconcierge@rservice.ca</t>
  </si>
  <si>
    <r>
      <t xml:space="preserve">THE MAX (RESIDENTIAL)
</t>
    </r>
    <r>
      <rPr>
        <sz val="9"/>
        <color indexed="60"/>
        <rFont val="Calibri"/>
        <family val="2"/>
      </rPr>
      <t>928 Beatty St.   V6Z 3G6 (Tower I) 
938/950/960/968/970 (Townhouses)
978/980 Beatty St.  V6Z 3C6
963/969/973/977/979 Expo Blvd. V6Z 3G8 (Townhouses)
930, 938, 950, 960, 968, 970, 978, 980 Beatty Street (Townhouses)
939 Expo Blvd. (Tower II)      
 Vancouver, BC V6Z 3G7</t>
    </r>
  </si>
  <si>
    <r>
      <t xml:space="preserve">THE MAX COMMERCIAL
</t>
    </r>
    <r>
      <rPr>
        <sz val="9"/>
        <color rgb="FFC00000"/>
        <rFont val="Calibri"/>
        <family val="2"/>
        <scheme val="minor"/>
      </rPr>
      <t>910, 920 Beatty St.
78, 80, 82, 86, 88, 90, 92 Smithe St.
 903, 909, 919, 923, 929, 955 Expo Boulevard
910, 920 Beatty Street / 78, 80, 82, 86, 88, 90, 92
Smithe Street / 903, 909, 919, 923, 929, 955 Expo Blvd</t>
    </r>
  </si>
  <si>
    <t>Building Manager:
Jose (Moi) Balacua
(604) 786-0059 
jbalacua@ranchogroup.com
Concierge: 604-682-7751
Cell: 604-838-9869
Fax: 604-682-7753
email: iconconcierge@rservice.ca</t>
  </si>
  <si>
    <t>Building Manager:
JP Ojeda
306-914-8289 (cell,  do not give out)
778-374-1853 (office)
johnpaul@linis.ca</t>
  </si>
  <si>
    <r>
      <rPr>
        <b/>
        <sz val="9"/>
        <color indexed="60"/>
        <rFont val="Calibri"/>
        <family val="2"/>
      </rPr>
      <t>SPECTRUM 1&amp;2</t>
    </r>
    <r>
      <rPr>
        <sz val="9"/>
        <color indexed="60"/>
        <rFont val="Calibri"/>
        <family val="2"/>
      </rPr>
      <t xml:space="preserve">
Tower 1 
 111 West Georgia Street    
 Vancouver, BC   
 V6B 1T8   
 Tower 2    
 668 Citadel Parade    
 Vancouver, BC
 V6B 1W6</t>
    </r>
  </si>
  <si>
    <t>Richard Chan
604-785-5632 (don't give out)
rchan@allbrightservices.ca
Concierge: 604-689-9010
Fax: 604-689-9123
Cell: 604-834-8519
Email: spectrumconcierge@rservice.ca</t>
  </si>
  <si>
    <t xml:space="preserve">5200
5200-10 Residential
5200-20 Commercial
</t>
  </si>
  <si>
    <t xml:space="preserve">RESIDENT MANAGER
Sarath Vasanth
Phone: 604-312-5162 (do not give out)
Phone: 604-685-4142
Email: creekside@kellyboy.ca
</t>
  </si>
  <si>
    <t>Richard Chan
604-785-5632 (don't give out)
rchan@allbrightservices.ca</t>
  </si>
  <si>
    <t xml:space="preserve">Building Caretaker:
Ivan Terrible
donovan@rservice.ca (do not give out)
604-788-9140 (do not give out)
Alliance Maintenance – Renan Moura
Phone: 604-788-9140  (ok to give out)
Email: donovan@alliancecleans.com 
After hours &amp; Weekends Emergency line: 604-398-8824
</t>
  </si>
  <si>
    <t xml:space="preserve">Richard Gayap
Phone number: 604-349-2557 (OK TO GIVE OUT) 
Email: socialcare@alliancecleans.com (same)
Hours are the same: 
8am to 4pm Monday to Friday
</t>
  </si>
  <si>
    <t>Kiran
604-662-4915
freesiaconcierge@rservice.ca</t>
  </si>
  <si>
    <t>Miljen Mutic
604-710-4599 (do not give out)
MMutic@ranchogroup.com (do not give out)</t>
  </si>
  <si>
    <t xml:space="preserve">Adamo Pitassi 
Office: 778-887-3845
Cell: 604-970-2479 (do not give out)
Email: apitassi@rservice.ca </t>
  </si>
  <si>
    <r>
      <rPr>
        <b/>
        <sz val="9"/>
        <rFont val="Calibri"/>
        <family val="2"/>
        <scheme val="minor"/>
      </rPr>
      <t xml:space="preserve">The Paramount Cost Share </t>
    </r>
    <r>
      <rPr>
        <sz val="9"/>
        <rFont val="Calibri"/>
        <family val="2"/>
        <scheme val="minor"/>
      </rPr>
      <t xml:space="preserve">
</t>
    </r>
    <r>
      <rPr>
        <b/>
        <sz val="9"/>
        <rFont val="Calibri"/>
        <family val="2"/>
        <scheme val="minor"/>
      </rPr>
      <t>EPS8060</t>
    </r>
    <r>
      <rPr>
        <sz val="9"/>
        <rFont val="Calibri"/>
        <family val="2"/>
        <scheme val="minor"/>
      </rPr>
      <t xml:space="preserve">
6388 No. 3 Road
Richmond, BC
</t>
    </r>
    <r>
      <rPr>
        <b/>
        <sz val="9"/>
        <rFont val="Calibri"/>
        <family val="2"/>
        <scheme val="minor"/>
      </rPr>
      <t>EPS8061</t>
    </r>
    <r>
      <rPr>
        <sz val="9"/>
        <rFont val="Calibri"/>
        <family val="2"/>
        <scheme val="minor"/>
      </rPr>
      <t xml:space="preserve">
6320 No. 3 Road
6328 No. 3 Road
8133 Cook Road
Richmond, BC
</t>
    </r>
    <r>
      <rPr>
        <b/>
        <sz val="9"/>
        <rFont val="Calibri"/>
        <family val="2"/>
        <scheme val="minor"/>
      </rPr>
      <t>EPS8062</t>
    </r>
    <r>
      <rPr>
        <sz val="9"/>
        <rFont val="Calibri"/>
        <family val="2"/>
        <scheme val="minor"/>
      </rPr>
      <t xml:space="preserve">
6386 No. 3 Road
Richmond, BC</t>
    </r>
  </si>
  <si>
    <t xml:space="preserve">Financial Services Only </t>
  </si>
  <si>
    <r>
      <t xml:space="preserve">BEXLEY AT THE BOROUGHS
</t>
    </r>
    <r>
      <rPr>
        <sz val="9"/>
        <color theme="1"/>
        <rFont val="Calibri"/>
        <family val="2"/>
        <scheme val="minor"/>
      </rPr>
      <t>2075 Oak Meadows Drive 
Surrey, BC
V3Z 1J6</t>
    </r>
  </si>
  <si>
    <t>EPS8519</t>
  </si>
  <si>
    <t>900 Units</t>
  </si>
  <si>
    <r>
      <rPr>
        <b/>
        <sz val="9"/>
        <rFont val="Calibri"/>
        <family val="2"/>
        <scheme val="minor"/>
      </rPr>
      <t>AUTOGRAPH</t>
    </r>
    <r>
      <rPr>
        <sz val="9"/>
        <rFont val="Calibri"/>
        <family val="2"/>
        <scheme val="minor"/>
      </rPr>
      <t xml:space="preserve">
5005 Ash Street
Vancouver, BC
V5Z 0K8
5007 Ash Street 
Vancouver, BC
V5Z 0K9</t>
    </r>
  </si>
  <si>
    <t>EPS10064</t>
  </si>
  <si>
    <t>64 Residential Units</t>
  </si>
  <si>
    <t>Ricky Campos 
604-839-8165
fcampos@rservice.ca
Concierge:
Tel: 604-336-2889
Cell: 604-619-3273
Email:kits360concierge@rservice.ca</t>
  </si>
  <si>
    <t>Ricky Campos 
604-839-8165
fcampos@rservice.ca
Concierge:
Tel: 604-336-2889
Cell: 604-619-3273
Email: kits360concierge@rservice.ca</t>
  </si>
  <si>
    <t>Terry (Council President)
partingtonadvisors@telus.net (do not give o ut)
604-922-2041 (do not give out)</t>
  </si>
  <si>
    <t>Daisy 
604-220-5197 (do not give out)
forestsedge@rservice.ca</t>
  </si>
  <si>
    <r>
      <t xml:space="preserve">OMEGA
</t>
    </r>
    <r>
      <rPr>
        <sz val="9"/>
        <color indexed="10"/>
        <rFont val="Calibri"/>
        <family val="2"/>
        <scheme val="minor"/>
      </rPr>
      <t>9333 Tomicki Avenue (Tower 1)
V6X 0L4
9388 Odlin Road (Tower 2)
Richmond, BC
V6X 0L5</t>
    </r>
  </si>
  <si>
    <t xml:space="preserve">Building Manager: Michael Li
604-908-2643
omega@rservice.ca
Office Hours: 8:30am-9:30am &amp; 3:30pm-4:30pm
</t>
  </si>
  <si>
    <t>Concierge: 604-220-5197
    Email:  forestsedge@rservice.ca
Steve/Howard
604-722-1964 or 778-863-6108 (do not give out)
CRB: carefree604@yahoo.ca (do not give out)
Howard Liang:lianghoward1989@gmail.com (do not give out)</t>
  </si>
  <si>
    <t>Stratus Building Manager
604-506-6216
 stratusbm@alliancecleans.com
Concierge
604-299-6370
stratusconcierge@rservice.ca</t>
  </si>
  <si>
    <r>
      <t xml:space="preserve">
Resident Manager: Jamal Jomaa
empire@rservice.ca
</t>
    </r>
    <r>
      <rPr>
        <sz val="9"/>
        <rFont val="Calibri"/>
        <family val="2"/>
      </rPr>
      <t xml:space="preserve">Telephone: 604-831-0146
</t>
    </r>
  </si>
  <si>
    <t>Allan Wong
 604-813-9972 (do not give out) 
awong@allbrightservices.ca (do not give out)
Concierge Email: onepacificconcierge@rservice.ca
604-688-0952</t>
  </si>
  <si>
    <t>Building Manager: John Paul (JP) Ojeda
306-914-8289 (do not give out)
johnpaul@linis.ca (do not give out)</t>
  </si>
  <si>
    <t>Marisela
604-240-6635 (do not give out)
bradleyhouse@rservice.ca (do not give out)</t>
  </si>
  <si>
    <t>Steve 
604-722-1964
Carefree604@yahoo.ca 
Howard Liang
778-863-6108
lianghoward1989@gmail.com</t>
  </si>
  <si>
    <t>Ann Cawthra
204-6462 Fraser Street
Vancouver, BC V5W 3A4
Phone: 604-321-2921 (do not give out)
778-836-2921 (do not give out)
cawthra1@telus.net (do not give out)</t>
  </si>
  <si>
    <t>Concierge
Ken/Edwin
Email: TempoConcierge@rservice.ca
Cell: 778-828-5660 (don't give out)
Office: 604-244-0330
On-Call Caretaker
Po Leung
Cell: 604-828-5660 (don't give out)</t>
  </si>
  <si>
    <t>Building Manager: John Ding
Phone: 604-789-6041 (do not give out)
Email: john.ding@allbrightservices.ca
Park Estates Concierge
604-370-1707
DIAMOND CLUB 
diamondclub@rservice.ca
604-370-1707</t>
  </si>
  <si>
    <t>Concierge: 
604-559-7066 (Dan)
604-786-6315 (do not give out)
cell: 604-828-4321 (do not give out)
AltusConcierge@rservice.ca</t>
  </si>
  <si>
    <t xml:space="preserve">Building Manager: Sam Mansour
604-842-7361
towergreen@rservice.ca
</t>
  </si>
  <si>
    <t xml:space="preserve">Building Manager
Barrie McLachlin
604-585-7243
barriemcl@gmail.com
</t>
  </si>
  <si>
    <t xml:space="preserve">Concierge:
thearc@rservice.ca
Allan Wong
604-813-9972 (do not give out)
awong@allbrightservices.ca (do not give out)
</t>
  </si>
  <si>
    <t>Richy Bachra
604-760-7425 (do not give out)
ricky@standardcleaning.ca (do not give out)</t>
  </si>
  <si>
    <t>CMI concierge 
conciergemoda@gmail.com
(604) 818-3180 (do not give out)
778-222-7179 (do not give out)</t>
  </si>
  <si>
    <t>JP Ojeda (Part Time, twice a week)
306-914-8289 (do not give out)
ParkHouseSouth@rservice.ca
johnpaul@linis.ca (do not give out)</t>
  </si>
  <si>
    <t>BM: Rajan 
Email: the.residences@rservice.ca
Phone: 604-992-2348</t>
  </si>
  <si>
    <t>Willis Chen 
604-771-2630 (do not give out)
willis@chunghwa.ca (do not give out)</t>
  </si>
  <si>
    <t>George
604-319-3143 (do not give out)
gt1manager@rservice.ca (do not give out)</t>
  </si>
  <si>
    <t>Maria, Council Member
604-277-3900 (do not give out)
mariamarzena1989@gmail.com (do not give out)</t>
  </si>
  <si>
    <t>Irfanul Kabir
778-874-6437 (do not give out)
fleetwoodvillage1@outlook.com (do not give out)</t>
  </si>
  <si>
    <t>Jeffrey Babante
604-833-7130 (do not give out)
clarkecomocaretaker@rservice.ca (do not give out)</t>
  </si>
  <si>
    <t>Nicholas Charbonneau
604-618-5215 (do not give out)
nicholas.rjc@novuscom.net (do not give out)</t>
  </si>
  <si>
    <t>Concierge
604-209-4334 (do not give out)
legacyconcierge@rservice.ca (do not give out)</t>
  </si>
  <si>
    <t>KN</t>
  </si>
  <si>
    <t>Concierge:
Phone: 604-930-2712
Cell: 604-831-2523
parkavenuewestconcierge@rservice.ca
Building Manager: 
Habil Otieno
604-240-4063
HOtieno@rservice.ca</t>
  </si>
  <si>
    <r>
      <rPr>
        <b/>
        <sz val="9"/>
        <color rgb="FFFF0000"/>
        <rFont val="Calibri"/>
        <family val="2"/>
        <scheme val="minor"/>
      </rPr>
      <t>HILLSIDE EAST</t>
    </r>
    <r>
      <rPr>
        <sz val="9"/>
        <color rgb="FFFF0000"/>
        <rFont val="Calibri"/>
        <family val="2"/>
        <scheme val="minor"/>
      </rPr>
      <t xml:space="preserve">
4880 Lougheed Highway 
Burnaby, B.C. V5C 0N1
4890 Lougheed Highway 
Burnaby, B.C. V5C 0N2</t>
    </r>
  </si>
  <si>
    <r>
      <rPr>
        <b/>
        <sz val="9"/>
        <rFont val="Calibri"/>
        <family val="2"/>
        <scheme val="minor"/>
      </rPr>
      <t>THE BOROUGHS AMENITIES</t>
    </r>
    <r>
      <rPr>
        <sz val="9"/>
        <rFont val="Calibri"/>
        <family val="2"/>
        <scheme val="minor"/>
      </rPr>
      <t xml:space="preserve">
(Shared Amenities in Holloway, Bexley and Chelsea)</t>
    </r>
  </si>
  <si>
    <t>Club</t>
  </si>
  <si>
    <r>
      <rPr>
        <b/>
        <sz val="9"/>
        <rFont val="Calibri"/>
        <family val="2"/>
        <scheme val="minor"/>
      </rPr>
      <t>THE COLLECTION</t>
    </r>
    <r>
      <rPr>
        <sz val="9"/>
        <rFont val="Calibri"/>
        <family val="2"/>
        <scheme val="minor"/>
      </rPr>
      <t xml:space="preserve">
3261, 3263, 3269, 3277, 3283, 3285, 3287, 3289, 3293, 3299 Chippendale Road
West Vancouver</t>
    </r>
  </si>
  <si>
    <t>EPS8014</t>
  </si>
  <si>
    <t xml:space="preserve">Bareland Strata </t>
  </si>
  <si>
    <t>Anna Tarko
Phone: 604-518-9510 (do not give out)
Email: annatarko@live.ca (do not give out)</t>
  </si>
  <si>
    <t>NW1676</t>
  </si>
  <si>
    <t>Kellyboy - Building Manager: Terence Melo
Phone: 604-396-0515 (During Work Hours)
Email: buildingmanager2@kellyboy.ca
Hours: Monday - Friday (8:00 a.m. to 4:00 p.m.)</t>
  </si>
  <si>
    <r>
      <t xml:space="preserve">5445-A
5445-B
5445-C
</t>
    </r>
    <r>
      <rPr>
        <b/>
        <sz val="9"/>
        <color rgb="FFFF0000"/>
        <rFont val="Calibri"/>
        <family val="2"/>
        <scheme val="minor"/>
      </rPr>
      <t>NLM as of ? 2023</t>
    </r>
  </si>
  <si>
    <t>CKS
(AW is Admin)</t>
  </si>
  <si>
    <r>
      <rPr>
        <b/>
        <sz val="9"/>
        <rFont val="Calibri"/>
        <family val="2"/>
      </rPr>
      <t xml:space="preserve">NOVO TWO
</t>
    </r>
    <r>
      <rPr>
        <sz val="9"/>
        <rFont val="Calibri"/>
        <family val="2"/>
      </rPr>
      <t>9232 University Crescent - North
Townhouses:
9234, 9236, 9238 University Crescent
Burnaby, BC V5A 0A3
9262 University Crescent - South
Townhouses:
9256, 9258, 9260 University Crescent
Burnaby, BC V5A 0A4</t>
    </r>
  </si>
  <si>
    <t xml:space="preserve">Concierge:
604-669-5162
Email: 
pomariaconcierge@yahoo.com
Building Managers:
Jason Beke
jbeke@allbrightservices.ca (do not give out)
778-874-1050 (do not give out)
Ricardo Trejo
604-716-8533 (do not give out)
ricardo.trejo@allbrightservices.ca </t>
  </si>
  <si>
    <r>
      <t xml:space="preserve">AFFINITY
</t>
    </r>
    <r>
      <rPr>
        <sz val="9"/>
        <rFont val="Calibri"/>
        <family val="2"/>
      </rPr>
      <t>Phase 1 - 2200 Douglas Road
2222, 2224, 2226, 2228, 2230
Burnaby, BC
V5C 0G8
Phase 2 - 2232 Douglas Road
2236, 2238
Burnaby, BC
V5C 0G9</t>
    </r>
  </si>
  <si>
    <r>
      <t xml:space="preserve">COSMO
</t>
    </r>
    <r>
      <rPr>
        <sz val="9"/>
        <color indexed="10"/>
        <rFont val="Calibri"/>
        <family val="2"/>
      </rPr>
      <t xml:space="preserve">161 West Georgia Street
Vancouver, BC
V6B 0K9
</t>
    </r>
  </si>
  <si>
    <r>
      <t xml:space="preserve">FOREST'S EDGE 1 - WEST
</t>
    </r>
    <r>
      <rPr>
        <sz val="9"/>
        <color indexed="30"/>
        <rFont val="Calibri"/>
        <family val="2"/>
      </rPr>
      <t>888 Arthur Erickson Place
West Vancouver, B.C. V7T 0B1</t>
    </r>
    <r>
      <rPr>
        <b/>
        <sz val="9"/>
        <color indexed="30"/>
        <rFont val="Calibri"/>
        <family val="2"/>
      </rPr>
      <t xml:space="preserve">
FOREST'S EDGE 2 - EAST
</t>
    </r>
    <r>
      <rPr>
        <sz val="9"/>
        <color indexed="30"/>
        <rFont val="Calibri"/>
        <family val="2"/>
      </rPr>
      <t>866 Arthur Erickson Place
West Vancouver, B.C. V7T 0B2</t>
    </r>
    <r>
      <rPr>
        <b/>
        <sz val="9"/>
        <color indexed="30"/>
        <rFont val="Calibri"/>
        <family val="2"/>
      </rPr>
      <t xml:space="preserve">
</t>
    </r>
    <r>
      <rPr>
        <sz val="9"/>
        <color indexed="30"/>
        <rFont val="Calibri"/>
        <family val="2"/>
      </rPr>
      <t>TH-1:    868 Arthur Erickson Place, West Vancouver BC, VT7 0B3
TH-2:    880 Arthur Erickson Place, West Vancouver BC, VT7 0B3
TH-3:    882 Arthur Erickson Place, West Vancouver BC, VT7 0B3               
TH-4:    886 Arthur Erickson Place, West Vancouver BC, VT7 0B3</t>
    </r>
  </si>
  <si>
    <r>
      <t xml:space="preserve">ONE UNIVERSITY CRESCENT
</t>
    </r>
    <r>
      <rPr>
        <sz val="9"/>
        <rFont val="Calibri"/>
        <family val="2"/>
      </rPr>
      <t xml:space="preserve">5368-1: 9300 University Crescent
5368-2: 9310 University Crescent
5368-3: 9320 University Crescent
5368-4: 9330 University Crescent
5368-5: 9370 University Crescent
5368-6: 9380 University Crescent
5368-7: 9390 University Crescent
Burnaby, B.C. 
</t>
    </r>
  </si>
  <si>
    <r>
      <t xml:space="preserve">W1
</t>
    </r>
    <r>
      <rPr>
        <sz val="9"/>
        <color rgb="FFFF0000"/>
        <rFont val="Calibri"/>
        <family val="2"/>
      </rPr>
      <t>West Tower - 455 SW Marine Drive Vancouver BC V5X 0H3
East Tower - 433 SW Marine Drive Vancouver BC V5X 0H5
Townhouse (West Tower) – 8110, 8120 8130, 8180, 8182, 8188 Nunavut Lane Vancouver BC V5X 0H3
Townhouse (East Tower) – 8081, 8083, 8085, 8087, 8093, 8095 Yukon Street Vancouver BC V5X 0H5</t>
    </r>
  </si>
  <si>
    <t>Building Manager: Igor Pisk
lynnvalley2@rservice.ca
604-968-5512
Alliance Maintenance:  David McAleese
Tel: 604-306-4104
W: alliancecleans.com  
 E: lv2@alliancecleans.com</t>
  </si>
  <si>
    <r>
      <t xml:space="preserve">HILLSIDE WEST
</t>
    </r>
    <r>
      <rPr>
        <sz val="9"/>
        <color rgb="FFFF0000"/>
        <rFont val="Calibri"/>
        <family val="2"/>
        <scheme val="minor"/>
      </rPr>
      <t>Tower 1 (West)
4720 Lougheed Highway
Burnaby, B.C. V5C 0M8
Tower 2 (East)
4730 Lougheed Highway
Burnaby, B.C. V5C 0M9</t>
    </r>
  </si>
  <si>
    <r>
      <t xml:space="preserve">GALLERIA AT CONCORD GARDENS – THE DA VINCI COLLECTION
</t>
    </r>
    <r>
      <rPr>
        <sz val="9"/>
        <color rgb="FFFF0000"/>
        <rFont val="Calibri"/>
        <family val="2"/>
        <scheme val="minor"/>
      </rPr>
      <t>8555 Capstan Way
Richmond, BC
V6X 0W1
8608 Hazelbridge Way
Richmond, BC
V6X 0W2</t>
    </r>
  </si>
  <si>
    <r>
      <t xml:space="preserve">GALLERIA AT CONCORD GARDENS RENTAL HOUSING UNITS
</t>
    </r>
    <r>
      <rPr>
        <sz val="9"/>
        <color rgb="FFFF0000"/>
        <rFont val="Calibri"/>
        <family val="2"/>
        <scheme val="minor"/>
      </rPr>
      <t>8555 Capstan Way
Richmond, BC
V6X 0W1
8668 Hazelbridge Way
Richmond, BC
V6X 0W2</t>
    </r>
  </si>
  <si>
    <r>
      <rPr>
        <b/>
        <sz val="9"/>
        <rFont val="Calibri"/>
        <family val="2"/>
        <scheme val="minor"/>
      </rPr>
      <t>E15 JUST OFF MAIN</t>
    </r>
    <r>
      <rPr>
        <sz val="9"/>
        <rFont val="Calibri"/>
        <family val="2"/>
        <scheme val="minor"/>
      </rPr>
      <t xml:space="preserve">
322 East 15th Avenue
Townhomes
302, 304, 306, 308, 310, 312, 314, 316, 318, 320, 324, 326, 328, 330, 332, 334, 336, 338, 340 East 15th Avenue
 3130, 3132, 3134, 3136, 3138, 3140 Sophia Street
Vancouver, BC</t>
    </r>
  </si>
  <si>
    <r>
      <rPr>
        <b/>
        <sz val="9"/>
        <rFont val="Calibri"/>
        <family val="2"/>
        <scheme val="minor"/>
      </rPr>
      <t>CASCADIA</t>
    </r>
    <r>
      <rPr>
        <sz val="9"/>
        <rFont val="Calibri"/>
        <family val="2"/>
        <scheme val="minor"/>
      </rPr>
      <t xml:space="preserve">
6951 204 Street
Langley, BC
V2Y 3W4</t>
    </r>
  </si>
  <si>
    <t>EPS9777</t>
  </si>
  <si>
    <t>233 TH Units
Phase 1 - 25
Phase 2 - 17
Phase 3 - 23
Phase 4 - 20
Phase 5 - 22
Phase 6 - 19
Phase 7 - 23
Phase 8 - 13
Phase 9 - 14
Phase 10 - 17
Phase 11 - 22
Phase 12 - 18</t>
  </si>
  <si>
    <t>Phased Strata</t>
  </si>
  <si>
    <t>KD</t>
  </si>
  <si>
    <r>
      <t xml:space="preserve">5224
</t>
    </r>
    <r>
      <rPr>
        <b/>
        <sz val="9"/>
        <color rgb="FFFF0000"/>
        <rFont val="Calibri"/>
        <family val="2"/>
        <scheme val="minor"/>
      </rPr>
      <t>NLM as of February 29, 2024
FirstServices Residential</t>
    </r>
  </si>
  <si>
    <r>
      <t xml:space="preserve">5707
</t>
    </r>
    <r>
      <rPr>
        <b/>
        <sz val="9"/>
        <color rgb="FFFF0000"/>
        <rFont val="Calibri"/>
        <family val="2"/>
        <scheme val="minor"/>
      </rPr>
      <t>NLM as of February 29, 2024</t>
    </r>
    <r>
      <rPr>
        <b/>
        <sz val="9"/>
        <color theme="1"/>
        <rFont val="Calibri"/>
        <family val="2"/>
        <scheme val="minor"/>
      </rPr>
      <t xml:space="preserve">
</t>
    </r>
    <r>
      <rPr>
        <b/>
        <sz val="9"/>
        <color rgb="FFFF0000"/>
        <rFont val="Calibri"/>
        <family val="2"/>
        <scheme val="minor"/>
      </rPr>
      <t>BluePrint Strata Management</t>
    </r>
  </si>
  <si>
    <t>HB</t>
  </si>
  <si>
    <t>SB</t>
  </si>
  <si>
    <t>EPS10172</t>
  </si>
  <si>
    <r>
      <rPr>
        <b/>
        <sz val="9"/>
        <rFont val="Calibri"/>
        <family val="2"/>
        <scheme val="minor"/>
      </rPr>
      <t>LILIBET</t>
    </r>
    <r>
      <rPr>
        <sz val="9"/>
        <rFont val="Calibri"/>
        <family val="2"/>
        <scheme val="minor"/>
      </rPr>
      <t xml:space="preserve">
520-570 West 28th Avenue
580-590 West 28th Avenue
4406-4426 Ash Street
Vancouver, B.C.</t>
    </r>
  </si>
  <si>
    <r>
      <rPr>
        <b/>
        <sz val="9"/>
        <rFont val="Calibri"/>
        <family val="2"/>
        <scheme val="minor"/>
      </rPr>
      <t>SPARK</t>
    </r>
    <r>
      <rPr>
        <sz val="9"/>
        <rFont val="Calibri"/>
        <family val="2"/>
        <scheme val="minor"/>
      </rPr>
      <t xml:space="preserve">
4033 May Drive
Richmond, BC
V6X 0T3</t>
    </r>
  </si>
  <si>
    <t>EPS6727</t>
  </si>
  <si>
    <t xml:space="preserve">Concierge
604-790-1604
thegrandeconcierge@rservice.ca
Sean McLellan, Building Manager
604-790-7273
thegrandebm@rservice.ca </t>
  </si>
  <si>
    <t>Concierge
hillsideeast@rservice.ca
604-830-4780
Building Manager, David Lam
604-818-9092 (do not give out)
lamd@allbrightservices.ca</t>
  </si>
  <si>
    <t>Gallagher</t>
  </si>
  <si>
    <r>
      <rPr>
        <b/>
        <sz val="9"/>
        <rFont val="Calibri"/>
        <family val="2"/>
        <scheme val="minor"/>
      </rPr>
      <t xml:space="preserve">HIGHSTREET VILLAGE TOWNHOMES </t>
    </r>
    <r>
      <rPr>
        <sz val="9"/>
        <rFont val="Calibri"/>
        <family val="2"/>
        <scheme val="minor"/>
      </rPr>
      <t xml:space="preserve">
30530 Cardinal Avenue
Abbotsford, BC
V2T 0L5</t>
    </r>
  </si>
  <si>
    <t>EPS10001</t>
  </si>
  <si>
    <t xml:space="preserve">Phase 1 – 31 TH
Phase 2 – 32 TH
Phase 3 – 15 TH
Phase 4 – 38 TH
Phase 5 – 15 TH
Phase 6 – 16 TH
TOTAL – 147 TH
</t>
  </si>
  <si>
    <t>Normal, Phased Strata</t>
  </si>
  <si>
    <t>EPS9754</t>
  </si>
  <si>
    <t>Accounting Contract</t>
  </si>
  <si>
    <t>5388
5388-1
5388-2
5388-3
5388-TH (SL1-18 + 234)</t>
  </si>
  <si>
    <t>EPS9592</t>
  </si>
  <si>
    <t>81 Units</t>
  </si>
  <si>
    <t>EPS10157</t>
  </si>
  <si>
    <t xml:space="preserve">Concierge: Kiran
Cell: 604-813-1082
Email: freesiaconcierge@rservice.ca
Concierge: 604-662-4915
</t>
  </si>
  <si>
    <t>EPS8857</t>
  </si>
  <si>
    <t>518 Units</t>
  </si>
  <si>
    <t>Waypoint</t>
  </si>
  <si>
    <r>
      <rPr>
        <b/>
        <sz val="9"/>
        <rFont val="Calibri"/>
        <family val="2"/>
        <scheme val="minor"/>
      </rPr>
      <t>CEDAR GROVE</t>
    </r>
    <r>
      <rPr>
        <sz val="9"/>
        <rFont val="Calibri"/>
        <family val="2"/>
        <scheme val="minor"/>
      </rPr>
      <t xml:space="preserve">
Building A – 15238 100 Avenue, Surrey, BC, V3R 7T9
Building B – 15268 100 Avenue, Surrey, BC, V3R 7V1
Building C – 15288 100 Avenue, Surrey, BC, V3R 7V2</t>
    </r>
  </si>
  <si>
    <t>Building A – 51 Units
Building B – 51 Units
Building C – 51 Units
TOTAL – 153 Residential Units</t>
  </si>
  <si>
    <t>Krishna Poojary
Office: 778-877-5573 
lumamanager@gmail.com 
8:30 am to 4:30 pm Monday to Friday</t>
  </si>
  <si>
    <r>
      <rPr>
        <b/>
        <sz val="9"/>
        <rFont val="Calibri"/>
        <family val="2"/>
        <scheme val="minor"/>
      </rPr>
      <t>PARK W29</t>
    </r>
    <r>
      <rPr>
        <sz val="9"/>
        <rFont val="Calibri"/>
        <family val="2"/>
        <scheme val="minor"/>
      </rPr>
      <t xml:space="preserve">
531 West 29th Avenue
Vancouver, BC
V5Z 2H8</t>
    </r>
  </si>
  <si>
    <t>EPS8695</t>
  </si>
  <si>
    <t>Oscar Piloneo, Head Building Supervisor 
Cell:  778-875-2845 (do not give out)
Email:  opiloneo@allbrightservices.ca
Wilson Law, Assistant Building Supervisor 
Cell: 604-374-1944 (do not give out)
Email: paloma@centrumconcierge.com 
Office:  604-247-1526 or 604-207-0419</t>
  </si>
  <si>
    <t>Oscar Piloneo, Head Building Supervisor 
Cell:  778-875-2845 (do not give out)
Email:  opiloneo@allbrightservices.ca 
Wilson Law, Assistant Building Supervisor 
Cell: 604-374-1944 (do not give out)
Email: paloma@centrumconcierge.com 
Office:  604-247-1526 or 604-207-0419</t>
  </si>
  <si>
    <r>
      <t xml:space="preserve">5252
</t>
    </r>
    <r>
      <rPr>
        <b/>
        <sz val="9"/>
        <color rgb="FFFF0000"/>
        <rFont val="Calibri"/>
        <family val="2"/>
        <scheme val="minor"/>
      </rPr>
      <t>NLM as of April 30, 2024
Profile Properties Ltd.</t>
    </r>
  </si>
  <si>
    <r>
      <t xml:space="preserve">5360
</t>
    </r>
    <r>
      <rPr>
        <b/>
        <sz val="9"/>
        <color rgb="FFFF0000"/>
        <rFont val="Calibri"/>
        <family val="2"/>
        <scheme val="minor"/>
      </rPr>
      <t>NLM as of March 31, 2024
Profile Properties Ltd.</t>
    </r>
    <r>
      <rPr>
        <b/>
        <sz val="9"/>
        <rFont val="Calibri"/>
        <family val="2"/>
        <scheme val="minor"/>
      </rPr>
      <t xml:space="preserve">
5360-1 (Phase 1)
5360-2 (Phase 2)
5360-3 (Phase 3)
5360-4 (Phase 4)
5360-5 (Phase 5)
5360-6 (Phase 6)
5360-7 (Phase 7)
5360-8 (Phase 8)</t>
    </r>
  </si>
  <si>
    <t xml:space="preserve">RY
</t>
  </si>
  <si>
    <r>
      <rPr>
        <b/>
        <sz val="9"/>
        <rFont val="Calibri"/>
        <family val="2"/>
        <scheme val="minor"/>
      </rPr>
      <t>ALASKA</t>
    </r>
    <r>
      <rPr>
        <sz val="9"/>
        <rFont val="Calibri"/>
        <family val="2"/>
        <scheme val="minor"/>
      </rPr>
      <t xml:space="preserve">
4433 Alaska Street, Burnaby, B.C. 
V5C 0N3</t>
    </r>
  </si>
  <si>
    <t xml:space="preserve">Concierge 
778-558-1181 
v6aconcierge@gmail.com
</t>
  </si>
  <si>
    <r>
      <t xml:space="preserve">5646
</t>
    </r>
    <r>
      <rPr>
        <b/>
        <sz val="9"/>
        <color rgb="FFFF0000"/>
        <rFont val="Calibri"/>
        <family val="2"/>
        <scheme val="minor"/>
      </rPr>
      <t>NLM as of May 9, 2024</t>
    </r>
    <r>
      <rPr>
        <b/>
        <sz val="9"/>
        <color theme="1"/>
        <rFont val="Calibri"/>
        <family val="2"/>
        <scheme val="minor"/>
      </rPr>
      <t xml:space="preserve">
</t>
    </r>
    <r>
      <rPr>
        <b/>
        <sz val="9"/>
        <color rgb="FFFF0000"/>
        <rFont val="Calibri"/>
        <family val="2"/>
        <scheme val="minor"/>
      </rPr>
      <t>StrataCo Management</t>
    </r>
  </si>
  <si>
    <r>
      <t xml:space="preserve">5647
</t>
    </r>
    <r>
      <rPr>
        <b/>
        <sz val="9"/>
        <color rgb="FFFF0000"/>
        <rFont val="Calibri"/>
        <family val="2"/>
        <scheme val="minor"/>
      </rPr>
      <t>NLM as of May 9, 2024</t>
    </r>
    <r>
      <rPr>
        <b/>
        <sz val="9"/>
        <color theme="1"/>
        <rFont val="Calibri"/>
        <family val="2"/>
        <scheme val="minor"/>
      </rPr>
      <t xml:space="preserve">
</t>
    </r>
    <r>
      <rPr>
        <b/>
        <sz val="9"/>
        <color rgb="FFFF0000"/>
        <rFont val="Calibri"/>
        <family val="2"/>
        <scheme val="minor"/>
      </rPr>
      <t>StrataCo Management</t>
    </r>
  </si>
  <si>
    <r>
      <rPr>
        <b/>
        <sz val="9"/>
        <rFont val="Calibri"/>
        <family val="2"/>
        <scheme val="minor"/>
      </rPr>
      <t>THE INN AT WHISTLER VILLAGE</t>
    </r>
    <r>
      <rPr>
        <sz val="9"/>
        <rFont val="Calibri"/>
        <family val="2"/>
        <scheme val="minor"/>
      </rPr>
      <t xml:space="preserve">
4250 Village Stroll
Whistler, B.C.
V8E 1E3</t>
    </r>
  </si>
  <si>
    <t>VR960</t>
  </si>
  <si>
    <t xml:space="preserve">CKS 
</t>
  </si>
  <si>
    <t xml:space="preserve">Accounting  </t>
  </si>
  <si>
    <t xml:space="preserve">NORMAC
Year 1 of 3 </t>
  </si>
  <si>
    <r>
      <t xml:space="preserve">TOWNHOMES AT EVELYN  WALK
</t>
    </r>
    <r>
      <rPr>
        <sz val="9"/>
        <rFont val="Calibri"/>
        <family val="2"/>
        <scheme val="minor"/>
      </rPr>
      <t>790-796 Arthur Erickson Place
West Vancouver, BC</t>
    </r>
  </si>
  <si>
    <t>EPS10139</t>
  </si>
  <si>
    <r>
      <rPr>
        <b/>
        <sz val="9"/>
        <rFont val="Calibri"/>
        <family val="2"/>
        <scheme val="minor"/>
      </rPr>
      <t>CANVAS</t>
    </r>
    <r>
      <rPr>
        <sz val="9"/>
        <rFont val="Calibri"/>
        <family val="2"/>
        <scheme val="minor"/>
      </rPr>
      <t xml:space="preserve">
5504 Brydon Crescent
Langley, BC 
V3A 0R3</t>
    </r>
  </si>
  <si>
    <r>
      <t xml:space="preserve">5703
</t>
    </r>
    <r>
      <rPr>
        <b/>
        <sz val="9"/>
        <color rgb="FFFF0000"/>
        <rFont val="Calibri"/>
        <family val="2"/>
        <scheme val="minor"/>
      </rPr>
      <t>NLM as of July 31, 2024</t>
    </r>
    <r>
      <rPr>
        <b/>
        <sz val="9"/>
        <color theme="1"/>
        <rFont val="Calibri"/>
        <family val="2"/>
        <scheme val="minor"/>
      </rPr>
      <t xml:space="preserve">
</t>
    </r>
    <r>
      <rPr>
        <b/>
        <sz val="9"/>
        <color rgb="FFFF0000"/>
        <rFont val="Calibri"/>
        <family val="2"/>
        <scheme val="minor"/>
      </rPr>
      <t>Paradigm Property Management</t>
    </r>
  </si>
  <si>
    <r>
      <t xml:space="preserve">5716
</t>
    </r>
    <r>
      <rPr>
        <b/>
        <sz val="9"/>
        <color rgb="FFFF0000"/>
        <rFont val="Calibri"/>
        <family val="2"/>
        <scheme val="minor"/>
      </rPr>
      <t>NLM as of May 31, 2024
Fort Park Property Management</t>
    </r>
  </si>
  <si>
    <r>
      <rPr>
        <b/>
        <sz val="9"/>
        <rFont val="Calibri"/>
        <family val="2"/>
        <scheme val="minor"/>
      </rPr>
      <t>HEARTWOOD</t>
    </r>
    <r>
      <rPr>
        <sz val="9"/>
        <rFont val="Calibri"/>
        <family val="2"/>
        <scheme val="minor"/>
      </rPr>
      <t xml:space="preserve">
3535 Highland Drive
3522 Harper Road
Coquitlam, B.C.</t>
    </r>
  </si>
  <si>
    <t>EPS10464</t>
  </si>
  <si>
    <t>Phase 1 – 7 Units
Phase 2 – 12 Units
Phase 3 – 24 Units
Phase 4 – 21 Units
Phase 5 – 17 Units</t>
  </si>
  <si>
    <t>Phased Strata, Normal</t>
  </si>
  <si>
    <t>EPS10560</t>
  </si>
  <si>
    <t>Normal Strata</t>
  </si>
  <si>
    <t xml:space="preserve">SB
</t>
  </si>
  <si>
    <t>EPS9274</t>
  </si>
  <si>
    <t>22 Units</t>
  </si>
  <si>
    <r>
      <t xml:space="preserve">THE RESIDENCES AT LYNN VALLEY (EF)
</t>
    </r>
    <r>
      <rPr>
        <sz val="9"/>
        <rFont val="Calibri"/>
        <family val="2"/>
      </rPr>
      <t>Building F -  1295 Conifer Street
 North Vancouver, B.C. V7J 0B4
Building E -  2738 Library Lane
 North Vancouver, B.C. V7J 0B3
2761, 2763, 2765, 2767, 2769 Mountain Hwy
North Vancouver, B.C. V7J 0B4</t>
    </r>
    <r>
      <rPr>
        <b/>
        <sz val="9"/>
        <rFont val="Calibri"/>
        <family val="2"/>
      </rPr>
      <t xml:space="preserve">
</t>
    </r>
  </si>
  <si>
    <r>
      <rPr>
        <b/>
        <sz val="9"/>
        <rFont val="Calibri"/>
        <family val="2"/>
        <scheme val="minor"/>
      </rPr>
      <t>CEDAR CREEK</t>
    </r>
    <r>
      <rPr>
        <sz val="9"/>
        <rFont val="Calibri"/>
        <family val="2"/>
        <scheme val="minor"/>
      </rPr>
      <t xml:space="preserve">
Phase 1 – 7133 14th Avenue, Burnaby, BC V3N 0H5
Phase 2 – 7169 14th Avenue, Burnaby, BC V3N 0H6
Phase 3 – 7579 16th Street, Burnaby, BC V3N 0H7</t>
    </r>
  </si>
  <si>
    <r>
      <rPr>
        <b/>
        <sz val="9"/>
        <rFont val="Calibri"/>
        <family val="2"/>
        <scheme val="minor"/>
      </rPr>
      <t>VOYCE</t>
    </r>
    <r>
      <rPr>
        <sz val="9"/>
        <rFont val="Calibri"/>
        <family val="2"/>
        <scheme val="minor"/>
      </rPr>
      <t xml:space="preserve">
5168 Cambie Street
Vancouver, B.C.
V5Z 0K7</t>
    </r>
  </si>
  <si>
    <t>Concierge
 Phone: 604-816-8125 
hillsidewest@rservice.ca
Pritam Thapa
604-307-5463 (do not give out)
hillsidewestbm@alliancecleans.com (do not give out)</t>
  </si>
  <si>
    <t>178 Units</t>
  </si>
  <si>
    <t>EPS10402</t>
  </si>
  <si>
    <t>7 Phases
Phase 1 – 21
Phase 2 – 23
Phase 3 – 21
Phase 4 – 27
Phase 5 – 24
Phase 6 – 20
Phase 7 – 29
TOTAL – 165 units</t>
  </si>
  <si>
    <t xml:space="preserve">Phased Strata </t>
  </si>
  <si>
    <t>EPS10169</t>
  </si>
  <si>
    <r>
      <t xml:space="preserve">5662
</t>
    </r>
    <r>
      <rPr>
        <b/>
        <sz val="9"/>
        <color rgb="FFFF0000"/>
        <rFont val="Calibri"/>
        <family val="2"/>
        <scheme val="minor"/>
      </rPr>
      <t>NLM as of June 30, 2024</t>
    </r>
    <r>
      <rPr>
        <b/>
        <sz val="9"/>
        <color theme="1"/>
        <rFont val="Calibri"/>
        <family val="2"/>
        <scheme val="minor"/>
      </rPr>
      <t xml:space="preserve">
</t>
    </r>
    <r>
      <rPr>
        <b/>
        <sz val="9"/>
        <color rgb="FFFF0000"/>
        <rFont val="Calibri"/>
        <family val="2"/>
        <scheme val="minor"/>
      </rPr>
      <t>FirstService Residential</t>
    </r>
  </si>
  <si>
    <r>
      <t xml:space="preserve">5617
</t>
    </r>
    <r>
      <rPr>
        <b/>
        <sz val="9"/>
        <color rgb="FFFF0000"/>
        <rFont val="Calibri"/>
        <family val="2"/>
        <scheme val="minor"/>
      </rPr>
      <t>NLM as of June 30, 2024
Dwell Property Management</t>
    </r>
  </si>
  <si>
    <r>
      <t xml:space="preserve">WEST 41ST
</t>
    </r>
    <r>
      <rPr>
        <sz val="9"/>
        <color theme="1"/>
        <rFont val="Calibri"/>
        <family val="2"/>
        <scheme val="minor"/>
      </rPr>
      <t>2028, 2032, 2034, 2036
West 41st Avenue
Vancouver, BC</t>
    </r>
  </si>
  <si>
    <t>EPS10170</t>
  </si>
  <si>
    <t>Commercial Remainder</t>
  </si>
  <si>
    <t>avana@rservice.ca</t>
  </si>
  <si>
    <t>John Paul
236-333-7046
autograph@rservice.ca</t>
  </si>
  <si>
    <r>
      <rPr>
        <b/>
        <sz val="9"/>
        <rFont val="Calibri"/>
        <family val="2"/>
        <scheme val="minor"/>
      </rPr>
      <t>SOLEIL COMMERCIAL</t>
    </r>
    <r>
      <rPr>
        <sz val="9"/>
        <rFont val="Calibri"/>
        <family val="2"/>
        <scheme val="minor"/>
      </rPr>
      <t xml:space="preserve">
1574-1588 Johnston Rd.
White Rock, BC V4B 0C5
15208-15238 North Bluff Road
White Rock, BC V4B 3Z7</t>
    </r>
  </si>
  <si>
    <r>
      <rPr>
        <b/>
        <sz val="9"/>
        <rFont val="Calibri"/>
        <family val="2"/>
        <scheme val="minor"/>
      </rPr>
      <t xml:space="preserve">SOLEIL 
(RESIDENTIAL ASP)
</t>
    </r>
    <r>
      <rPr>
        <sz val="9"/>
        <rFont val="Calibri"/>
        <family val="2"/>
        <scheme val="minor"/>
      </rPr>
      <t xml:space="preserve">1588 Johnston Road
White Rock, BC V4B 0C5
</t>
    </r>
  </si>
  <si>
    <t>EPS10712</t>
  </si>
  <si>
    <t>Axis Insurance</t>
  </si>
  <si>
    <t>EPS10004</t>
  </si>
  <si>
    <t>105 TH Units
Phase 1 - 17
Phase 2 - 18
Phase 3 - 10
Phase 4 - 22
Phase 5 - 20
Phase 6 - 18</t>
  </si>
  <si>
    <r>
      <rPr>
        <b/>
        <sz val="9"/>
        <color theme="4"/>
        <rFont val="Calibri"/>
        <family val="2"/>
        <scheme val="minor"/>
      </rPr>
      <t>GILMORE TOWER 1</t>
    </r>
    <r>
      <rPr>
        <sz val="9"/>
        <color theme="4"/>
        <rFont val="Calibri"/>
        <family val="2"/>
        <scheme val="minor"/>
      </rPr>
      <t xml:space="preserve">
2186 Gilmore Avenue
Burnaby, BC
V5C 0N7</t>
    </r>
  </si>
  <si>
    <t>Onni Handles insurance</t>
  </si>
  <si>
    <t>EPS10656</t>
  </si>
  <si>
    <t>Financial/Accounting Only</t>
  </si>
  <si>
    <r>
      <rPr>
        <b/>
        <sz val="9"/>
        <rFont val="Calibri"/>
        <family val="2"/>
        <scheme val="minor"/>
      </rPr>
      <t>KING AND COLUMBIA 1</t>
    </r>
    <r>
      <rPr>
        <sz val="9"/>
        <rFont val="Calibri"/>
        <family val="2"/>
        <scheme val="minor"/>
      </rPr>
      <t xml:space="preserve">
  4078-4088 Columbia Street 
 181-199 W. King Edward Ave.
Vancouver, BC
V5Y 4B4</t>
    </r>
  </si>
  <si>
    <t>105 Residential Units
53 Commercial Units</t>
  </si>
  <si>
    <t>$200.00
For each move, an owner must submit to the Strata Corporation a $200 move fee. An owner or tenant must, at least seven (7) days prior to the move, book with the building staff an elevator, if one is required.</t>
  </si>
  <si>
    <t>Varun Kuruvilla
672-755-1702
generalmanager@hotellesoleil.com</t>
  </si>
  <si>
    <t>David Mangala
604-688-7678
gm.vancouver@executivehotels.net</t>
  </si>
  <si>
    <r>
      <t xml:space="preserve">5568
</t>
    </r>
    <r>
      <rPr>
        <b/>
        <sz val="9"/>
        <color rgb="FFFF0000"/>
        <rFont val="Calibri"/>
        <family val="2"/>
        <scheme val="minor"/>
      </rPr>
      <t>NLM as of July 31, 2024</t>
    </r>
    <r>
      <rPr>
        <b/>
        <sz val="9"/>
        <rFont val="Calibri"/>
        <family val="2"/>
        <scheme val="minor"/>
      </rPr>
      <t xml:space="preserve">
</t>
    </r>
    <r>
      <rPr>
        <b/>
        <sz val="9"/>
        <color rgb="FFFF0000"/>
        <rFont val="Calibri"/>
        <family val="2"/>
        <scheme val="minor"/>
      </rPr>
      <t>FirstService Residential</t>
    </r>
  </si>
  <si>
    <r>
      <rPr>
        <b/>
        <sz val="9"/>
        <rFont val="Calibri"/>
        <family val="2"/>
        <scheme val="minor"/>
      </rPr>
      <t>EPIC AT WEST</t>
    </r>
    <r>
      <rPr>
        <sz val="9"/>
        <rFont val="Calibri"/>
        <family val="2"/>
        <scheme val="minor"/>
      </rPr>
      <t xml:space="preserve">
1788 Columbia Street
Vancouver, BC
V5Y 0L7</t>
    </r>
  </si>
  <si>
    <t>EPS4489</t>
  </si>
  <si>
    <r>
      <rPr>
        <b/>
        <sz val="9"/>
        <rFont val="Calibri"/>
        <family val="2"/>
        <scheme val="minor"/>
      </rPr>
      <t>GRAND CORNICHE 1</t>
    </r>
    <r>
      <rPr>
        <sz val="9"/>
        <rFont val="Calibri"/>
        <family val="2"/>
        <scheme val="minor"/>
      </rPr>
      <t xml:space="preserve">
6240 McKay Avenue
Burnaby, BC
V5H 4L8</t>
    </r>
  </si>
  <si>
    <t>5550
5550-C (Commercial Units)</t>
  </si>
  <si>
    <r>
      <t xml:space="preserve">5687
</t>
    </r>
    <r>
      <rPr>
        <b/>
        <sz val="9"/>
        <color rgb="FFFF0000"/>
        <rFont val="Calibri"/>
        <family val="2"/>
        <scheme val="minor"/>
      </rPr>
      <t>NLM as of August 17, 2024
FirstService Residential</t>
    </r>
  </si>
  <si>
    <r>
      <t xml:space="preserve">ROSEDALE ON ROBSON 
</t>
    </r>
    <r>
      <rPr>
        <sz val="9"/>
        <color theme="1"/>
        <rFont val="Calibri"/>
        <family val="2"/>
      </rPr>
      <t>838 Hamilton Street
Vancouver, BC 
V6B 6A2 
818, 828, 838, 848, 858, 868, 878 Hamilton Street
260, 270, 280, 290 Robson Street
Vancouver, BC</t>
    </r>
  </si>
  <si>
    <r>
      <t xml:space="preserve">354 EAST 10TH AVENUE
</t>
    </r>
    <r>
      <rPr>
        <sz val="9"/>
        <color theme="1"/>
        <rFont val="Calibri"/>
        <family val="2"/>
        <scheme val="minor"/>
      </rPr>
      <t>Vancouver, BC</t>
    </r>
  </si>
  <si>
    <t>This is a Commercial 
Rental Building</t>
  </si>
  <si>
    <r>
      <rPr>
        <b/>
        <sz val="9"/>
        <rFont val="Calibri"/>
        <family val="2"/>
        <scheme val="minor"/>
      </rPr>
      <t>THE WILLOW</t>
    </r>
    <r>
      <rPr>
        <sz val="9"/>
        <rFont val="Calibri"/>
        <family val="2"/>
        <scheme val="minor"/>
      </rPr>
      <t xml:space="preserve">
778 West 27th Avenue
Vancouver BC
V5Z 2G6</t>
    </r>
  </si>
  <si>
    <r>
      <rPr>
        <b/>
        <sz val="9"/>
        <rFont val="Calibri"/>
        <family val="2"/>
        <scheme val="minor"/>
      </rPr>
      <t>HOLLYBRIDGE AT RIVER GREEN</t>
    </r>
    <r>
      <rPr>
        <sz val="9"/>
        <rFont val="Calibri"/>
        <family val="2"/>
        <scheme val="minor"/>
      </rPr>
      <t xml:space="preserve">
6811 Pearson Way
6833 Pearson Way
6855 Pearson Way
Richmond, B.C. </t>
    </r>
  </si>
  <si>
    <t>EPS9187</t>
  </si>
  <si>
    <t>459 Residential Units</t>
  </si>
  <si>
    <r>
      <rPr>
        <b/>
        <sz val="9"/>
        <rFont val="Calibri"/>
        <family val="2"/>
        <scheme val="minor"/>
      </rPr>
      <t xml:space="preserve">PIER WEST
(WEST TOWER)
</t>
    </r>
    <r>
      <rPr>
        <sz val="9"/>
        <rFont val="Calibri"/>
        <family val="2"/>
        <scheme val="minor"/>
      </rPr>
      <t>680 Quayside Drive
New Westminster, BC
V3M 0P2</t>
    </r>
  </si>
  <si>
    <t>EPS10722</t>
  </si>
  <si>
    <t>Normal, ASP</t>
  </si>
  <si>
    <t>EPS8859</t>
  </si>
  <si>
    <t>419 Units</t>
  </si>
  <si>
    <r>
      <rPr>
        <b/>
        <sz val="9"/>
        <color theme="4"/>
        <rFont val="Calibri"/>
        <family val="2"/>
        <scheme val="minor"/>
      </rPr>
      <t>GILMORE TOWER 3</t>
    </r>
    <r>
      <rPr>
        <sz val="9"/>
        <color theme="4"/>
        <rFont val="Calibri"/>
        <family val="2"/>
        <scheme val="minor"/>
      </rPr>
      <t xml:space="preserve">
4168 Lougheed Hwy
Burnaby, B.C. 
V5C 0N9</t>
    </r>
  </si>
  <si>
    <t xml:space="preserve">Concierge                                            
EPS9187@cmiconcierge.com
778-871-7961 for 6811/6833 Concierge (North Towers H &amp; G)
778-871-7965 for 6855 Concierge (South Tower F)
Head Concierge
hollybridgehc@cmiconcierge.com
672-971-1655
Building Manager
hollybridgeBM@cmiconcierge.com 
778-871-7956                                                                                                            </t>
  </si>
  <si>
    <r>
      <t xml:space="preserve">5740
5740N – 5005 Ash
5740S – 5007 Ash
</t>
    </r>
    <r>
      <rPr>
        <b/>
        <sz val="9"/>
        <color rgb="FFFF0000"/>
        <rFont val="Calibri"/>
        <family val="2"/>
        <scheme val="minor"/>
      </rPr>
      <t>NLM as of September 30, 2024 FirstServiceResidential</t>
    </r>
  </si>
  <si>
    <r>
      <rPr>
        <b/>
        <sz val="9"/>
        <color theme="1"/>
        <rFont val="Calibri"/>
        <family val="2"/>
        <scheme val="minor"/>
      </rPr>
      <t>POLARIS</t>
    </r>
    <r>
      <rPr>
        <sz val="9"/>
        <color theme="1"/>
        <rFont val="Calibri"/>
        <family val="2"/>
        <scheme val="minor"/>
      </rPr>
      <t xml:space="preserve">
4425 Halifax Street
Burnaby, BC
V5C 6P2</t>
    </r>
  </si>
  <si>
    <t>LMS3824</t>
  </si>
  <si>
    <t>179 Units</t>
  </si>
  <si>
    <t>EPS11004</t>
  </si>
  <si>
    <t xml:space="preserve">63 Units </t>
  </si>
  <si>
    <t>EPS10825</t>
  </si>
  <si>
    <t>341 Units</t>
  </si>
  <si>
    <t>Residential Strata, ASP</t>
  </si>
  <si>
    <r>
      <rPr>
        <b/>
        <sz val="9"/>
        <color theme="1"/>
        <rFont val="Calibri"/>
        <family val="2"/>
        <scheme val="minor"/>
      </rPr>
      <t>THE GRAND ON KING GEORGE (COMMERCIAL STRATA)</t>
    </r>
    <r>
      <rPr>
        <sz val="9"/>
        <color theme="1"/>
        <rFont val="Calibri"/>
        <family val="2"/>
        <scheme val="minor"/>
      </rPr>
      <t xml:space="preserve">
10741 King George Boulevard, Surrey, BC V3T 0V5
10745 King George Boulevard, Surrey, BC V3T 0V5
10749 King George Boulevard, Surrey, BC V3T 0V5
13575 107A Avenue, Surrey, BC V3T 0V5</t>
    </r>
  </si>
  <si>
    <t>EPS10883</t>
  </si>
  <si>
    <t>Commercial Strata, ASP</t>
  </si>
  <si>
    <t>344 Units</t>
  </si>
  <si>
    <t>HB/FY
(EJ is Admin)</t>
  </si>
  <si>
    <r>
      <rPr>
        <b/>
        <sz val="9"/>
        <color rgb="FFFF0000"/>
        <rFont val="Calibri"/>
        <family val="2"/>
        <scheme val="minor"/>
      </rPr>
      <t>PICASSO GALLERIA CONCORD GARDENS (RESIDENTIAL STRATA)</t>
    </r>
    <r>
      <rPr>
        <sz val="9"/>
        <color rgb="FFFF0000"/>
        <rFont val="Calibri"/>
        <family val="2"/>
        <scheme val="minor"/>
      </rPr>
      <t xml:space="preserve">
8671 HAZELBRIDGE WAY 
RICHMOND, BC 
V6X 0W9
3328 NO. 3 ROAD
RICHMOND, BC 
V6X 0X1
8611 HAZELBRIDGE WAY 
RICHMOND, BC 
V6X 0W8</t>
    </r>
  </si>
  <si>
    <t>MC
(Admin Pool is Admin)</t>
  </si>
  <si>
    <r>
      <t xml:space="preserve">SILVER OAK
</t>
    </r>
    <r>
      <rPr>
        <sz val="9"/>
        <color theme="1"/>
        <rFont val="Calibri"/>
        <family val="2"/>
      </rPr>
      <t>1465, 1485 &amp; 1490 Parkway Blvd.
Coquitlam, BC
V3E 3E6
2900, 2902, 2906, 2908, 2910, 2912, 2916, 2918, 2920, 2922, 2926, 2928, 2930, 2932, 2936, 2938, 2940, 2942, 2944 Panorama Drive
Coquitlam, BC V3E 3B4</t>
    </r>
  </si>
  <si>
    <r>
      <t xml:space="preserve">5559
</t>
    </r>
    <r>
      <rPr>
        <b/>
        <sz val="9"/>
        <color rgb="FFFF0000"/>
        <rFont val="Calibri"/>
        <family val="2"/>
        <scheme val="minor"/>
      </rPr>
      <t>NLM as of October 31, 2024</t>
    </r>
    <r>
      <rPr>
        <b/>
        <sz val="9"/>
        <rFont val="Calibri"/>
        <family val="2"/>
        <scheme val="minor"/>
      </rPr>
      <t xml:space="preserve">
</t>
    </r>
    <r>
      <rPr>
        <b/>
        <sz val="9"/>
        <color rgb="FFFF0000"/>
        <rFont val="Calibri"/>
        <family val="2"/>
        <scheme val="minor"/>
      </rPr>
      <t>FirstService Residential</t>
    </r>
  </si>
  <si>
    <r>
      <t xml:space="preserve">5332
</t>
    </r>
    <r>
      <rPr>
        <b/>
        <sz val="9"/>
        <color rgb="FFFF0000"/>
        <rFont val="Calibri"/>
        <family val="2"/>
        <scheme val="minor"/>
      </rPr>
      <t>NLM as of October 31, 2024</t>
    </r>
    <r>
      <rPr>
        <b/>
        <sz val="9"/>
        <color rgb="FF0070C0"/>
        <rFont val="Calibri"/>
        <family val="2"/>
        <scheme val="minor"/>
      </rPr>
      <t xml:space="preserve">
</t>
    </r>
    <r>
      <rPr>
        <b/>
        <sz val="9"/>
        <color rgb="FFFF0000"/>
        <rFont val="Calibri"/>
        <family val="2"/>
        <scheme val="minor"/>
      </rPr>
      <t>StrataWest Management</t>
    </r>
  </si>
  <si>
    <r>
      <t xml:space="preserve">5680
</t>
    </r>
    <r>
      <rPr>
        <b/>
        <sz val="9"/>
        <color rgb="FFFF0000"/>
        <rFont val="Calibri"/>
        <family val="2"/>
        <scheme val="minor"/>
      </rPr>
      <t>NLM as of October 31, 2024</t>
    </r>
    <r>
      <rPr>
        <b/>
        <sz val="9"/>
        <color theme="1"/>
        <rFont val="Calibri"/>
        <family val="2"/>
        <scheme val="minor"/>
      </rPr>
      <t xml:space="preserve">
</t>
    </r>
    <r>
      <rPr>
        <b/>
        <sz val="9"/>
        <color rgb="FFFF0000"/>
        <rFont val="Calibri"/>
        <family val="2"/>
        <scheme val="minor"/>
      </rPr>
      <t xml:space="preserve">Remi </t>
    </r>
  </si>
  <si>
    <t>EPS8858</t>
  </si>
  <si>
    <t>653 Units</t>
  </si>
  <si>
    <r>
      <rPr>
        <b/>
        <sz val="9"/>
        <color theme="4"/>
        <rFont val="Calibri"/>
        <family val="2"/>
        <scheme val="minor"/>
      </rPr>
      <t>GILMORE TOWER 2</t>
    </r>
    <r>
      <rPr>
        <sz val="9"/>
        <color theme="4"/>
        <rFont val="Calibri"/>
        <family val="2"/>
        <scheme val="minor"/>
      </rPr>
      <t xml:space="preserve">
2108 Gilmore Avenue
Burnaby, B.C. 
V5C 0N8</t>
    </r>
  </si>
  <si>
    <t>Normal Strata, ASP</t>
  </si>
  <si>
    <r>
      <rPr>
        <b/>
        <sz val="9"/>
        <color theme="1"/>
        <rFont val="Calibri"/>
        <family val="2"/>
        <scheme val="minor"/>
      </rPr>
      <t>QUINN</t>
    </r>
    <r>
      <rPr>
        <sz val="9"/>
        <color theme="1"/>
        <rFont val="Calibri"/>
        <family val="2"/>
        <scheme val="minor"/>
      </rPr>
      <t xml:space="preserve">
13439 94A Avenue Surrey, B.C.
V3V 0G9
9456 134 Street
Surrey, B.C.
V3V 0G8</t>
    </r>
  </si>
  <si>
    <t>EPS10911</t>
  </si>
  <si>
    <t>174 Units</t>
  </si>
  <si>
    <t>NW3079</t>
  </si>
  <si>
    <t>EPS9999</t>
  </si>
  <si>
    <t xml:space="preserve">46 Units </t>
  </si>
  <si>
    <t xml:space="preserve">Normal Strata, ASP </t>
  </si>
  <si>
    <t>EPS3548</t>
  </si>
  <si>
    <t xml:space="preserve">348 Units </t>
  </si>
  <si>
    <r>
      <t xml:space="preserve">2175 WEST 7TH (LAWRENCE MANOR)
</t>
    </r>
    <r>
      <rPr>
        <sz val="9"/>
        <color theme="1"/>
        <rFont val="Calibri"/>
        <family val="2"/>
        <scheme val="minor"/>
      </rPr>
      <t>2175 West 7th Avenue
Vancouver, BC
V6K 1X9</t>
    </r>
  </si>
  <si>
    <r>
      <t xml:space="preserve">1960 WEST 7TH (CASA GRANDE)
</t>
    </r>
    <r>
      <rPr>
        <sz val="9"/>
        <color theme="1"/>
        <rFont val="Calibri"/>
        <family val="2"/>
        <scheme val="minor"/>
      </rPr>
      <t>1960 West 7th Avenue
Vancouver, BC
V6J 1T1</t>
    </r>
  </si>
  <si>
    <r>
      <rPr>
        <b/>
        <sz val="9"/>
        <color theme="1"/>
        <rFont val="Calibri"/>
        <family val="2"/>
        <scheme val="minor"/>
      </rPr>
      <t xml:space="preserve">CHLOE RESIDENTIAL </t>
    </r>
    <r>
      <rPr>
        <sz val="9"/>
        <color theme="1"/>
        <rFont val="Calibri"/>
        <family val="2"/>
        <scheme val="minor"/>
      </rPr>
      <t xml:space="preserve">
2096 West 47th Avenue
Vancouver, BC
V6M 0E5</t>
    </r>
  </si>
  <si>
    <t>5713
NLM as of November 26, 2024
FirstService Residential</t>
  </si>
  <si>
    <r>
      <t xml:space="preserve">5459
</t>
    </r>
    <r>
      <rPr>
        <i/>
        <sz val="9"/>
        <rFont val="Calibri"/>
        <family val="2"/>
        <scheme val="minor"/>
      </rPr>
      <t>(formerly 5449)</t>
    </r>
    <r>
      <rPr>
        <b/>
        <sz val="9"/>
        <rFont val="Calibri"/>
        <family val="2"/>
        <scheme val="minor"/>
      </rPr>
      <t xml:space="preserve">
</t>
    </r>
    <r>
      <rPr>
        <b/>
        <sz val="9"/>
        <color rgb="FFFF0000"/>
        <rFont val="Calibri"/>
        <family val="2"/>
        <scheme val="minor"/>
      </rPr>
      <t>NLM as of November 30, 2024</t>
    </r>
    <r>
      <rPr>
        <b/>
        <sz val="9"/>
        <rFont val="Calibri"/>
        <family val="2"/>
        <scheme val="minor"/>
      </rPr>
      <t xml:space="preserve">
</t>
    </r>
    <r>
      <rPr>
        <b/>
        <sz val="9"/>
        <color rgb="FFFF0000"/>
        <rFont val="Calibri"/>
        <family val="2"/>
        <scheme val="minor"/>
      </rPr>
      <t xml:space="preserve">Vancouver Management </t>
    </r>
  </si>
  <si>
    <t>EPS10662</t>
  </si>
  <si>
    <t>Building Manager: 
Taranjeet Singh
 604-735-0971
 soleil@rservice.ca</t>
  </si>
  <si>
    <t>Building Manager: 
Dina Guerrero
 (236) 788-4862
 tsawwassen.amenity@rservice.ca                                                                                                                                            
Mon - Fri 8:30 a.m. - 4:30 p.m.</t>
  </si>
  <si>
    <t>EPS5767</t>
  </si>
  <si>
    <t>47 Units</t>
  </si>
  <si>
    <t>Phase One – 32 Units
Phase Two – 99 Units
TOTAL UNITS – 131 Units</t>
  </si>
  <si>
    <t xml:space="preserve">MC
(Admin Pool is Admin) </t>
  </si>
  <si>
    <t>CF/TL
(BN is Admin)</t>
  </si>
  <si>
    <r>
      <t xml:space="preserve">5607
</t>
    </r>
    <r>
      <rPr>
        <b/>
        <sz val="9"/>
        <color rgb="FFFF0000"/>
        <rFont val="Calibri"/>
        <family val="2"/>
        <scheme val="minor"/>
      </rPr>
      <t>NLM as of December 31, 2024
Poseidon PM</t>
    </r>
    <r>
      <rPr>
        <b/>
        <sz val="9"/>
        <color theme="1"/>
        <rFont val="Calibri"/>
        <family val="2"/>
        <scheme val="minor"/>
      </rPr>
      <t xml:space="preserve">
5607-1: 2116-2143 St. Johns Street
5607-2: 2116-2143 Spring Street
5607-3: 2127-2145 Clarke Street
</t>
    </r>
  </si>
  <si>
    <r>
      <t xml:space="preserve">5671
</t>
    </r>
    <r>
      <rPr>
        <b/>
        <sz val="9"/>
        <color rgb="FFFF0000"/>
        <rFont val="Calibri"/>
        <family val="2"/>
        <scheme val="minor"/>
      </rPr>
      <t>NLM as of December 31, 2024</t>
    </r>
    <r>
      <rPr>
        <b/>
        <sz val="9"/>
        <color theme="1"/>
        <rFont val="Calibri"/>
        <family val="2"/>
        <scheme val="minor"/>
      </rPr>
      <t xml:space="preserve">
</t>
    </r>
    <r>
      <rPr>
        <b/>
        <sz val="9"/>
        <color rgb="FFFF0000"/>
        <rFont val="Calibri"/>
        <family val="2"/>
        <scheme val="minor"/>
      </rPr>
      <t>Sutton Max Realty &amp; PM</t>
    </r>
  </si>
  <si>
    <r>
      <rPr>
        <b/>
        <sz val="9"/>
        <color theme="1"/>
        <rFont val="Calibri"/>
        <family val="2"/>
        <scheme val="minor"/>
      </rPr>
      <t>THE GRAND ON KING GEORGE (RESIDENTIAL STRATA)</t>
    </r>
    <r>
      <rPr>
        <sz val="9"/>
        <color theme="1"/>
        <rFont val="Calibri"/>
        <family val="2"/>
        <scheme val="minor"/>
      </rPr>
      <t xml:space="preserve">
10750 - 135A Street
Surrey, BC
V3T 0V4</t>
    </r>
  </si>
  <si>
    <r>
      <rPr>
        <b/>
        <sz val="9"/>
        <color theme="1"/>
        <rFont val="Calibri"/>
        <family val="2"/>
        <scheme val="minor"/>
      </rPr>
      <t>MANDARIN RESIDENCES</t>
    </r>
    <r>
      <rPr>
        <sz val="9"/>
        <color theme="1"/>
        <rFont val="Calibri"/>
        <family val="2"/>
        <scheme val="minor"/>
      </rPr>
      <t xml:space="preserve">
6188 No. 3 Road , Richmond, BC V6Y 0J3
6288 No. 3 Road , Richmond, BC V6Y 0J4</t>
    </r>
  </si>
  <si>
    <t>5397
5397-W (876 Keith Rd)
5397-E (870 Keith Rd)</t>
  </si>
  <si>
    <t>HUB (South Fraser Way)</t>
  </si>
  <si>
    <t xml:space="preserve"> BFL Canada</t>
  </si>
  <si>
    <t>EPS10657</t>
  </si>
  <si>
    <t xml:space="preserve">Andres Rodriguez
8 am – 4 pm
meridiangate@rservice.ca (OK to give out)
604-276-9950 (OK to give out)
</t>
  </si>
  <si>
    <t xml:space="preserve">Building Manager: Trupti Shetty
Cell: 604-328-9448
theaustin@rservice.ca
</t>
  </si>
  <si>
    <t>Building Manager: Trupti Shetty
Cell: 604-328-9448
theaustin@rservice.ca</t>
  </si>
  <si>
    <r>
      <rPr>
        <b/>
        <sz val="9"/>
        <color theme="4"/>
        <rFont val="Calibri"/>
        <family val="2"/>
      </rPr>
      <t xml:space="preserve">
Building Manager
</t>
    </r>
    <r>
      <rPr>
        <sz val="9"/>
        <color theme="4"/>
        <rFont val="Calibri"/>
        <family val="2"/>
      </rPr>
      <t>Artur Filho</t>
    </r>
    <r>
      <rPr>
        <b/>
        <sz val="9"/>
        <color theme="4"/>
        <rFont val="Calibri"/>
        <family val="2"/>
      </rPr>
      <t xml:space="preserve">
</t>
    </r>
    <r>
      <rPr>
        <sz val="9"/>
        <color theme="4"/>
        <rFont val="Calibri"/>
        <family val="2"/>
      </rPr>
      <t xml:space="preserve">Mobile: 604-612-1514
Email: Block100bm@rservice.ca
</t>
    </r>
    <r>
      <rPr>
        <b/>
        <sz val="9"/>
        <color theme="4"/>
        <rFont val="Calibri"/>
        <family val="2"/>
      </rPr>
      <t xml:space="preserve">
Concierge
</t>
    </r>
    <r>
      <rPr>
        <sz val="9"/>
        <color theme="4"/>
        <rFont val="Calibri"/>
        <family val="2"/>
      </rPr>
      <t>Gino Bruno</t>
    </r>
    <r>
      <rPr>
        <b/>
        <sz val="9"/>
        <color theme="4"/>
        <rFont val="Calibri"/>
        <family val="2"/>
      </rPr>
      <t xml:space="preserve">
</t>
    </r>
    <r>
      <rPr>
        <sz val="9"/>
        <color theme="4"/>
        <rFont val="Calibri"/>
        <family val="2"/>
      </rPr>
      <t>Cell 604-290-7680
block100concierge@rservice.ca</t>
    </r>
  </si>
  <si>
    <t>Concierge
gilmore3concierge@rservice.ca
604-306-2431
Building Manager
Terrence Tou
gilmore3bm@rservice.ca
604-653-9952</t>
  </si>
  <si>
    <t>Central Estates Building Manager
Thomas Tam 
Thomas.Tam@allbrightservices.ca
Cell (DO NOT GIVE OUT): 604-721-4338 OR 604-328-2516
Central Estates Concierge - Aqiu
Email: Centralestatesconcierge@rservice.ca
604-833-0629</t>
  </si>
  <si>
    <t>Concierge:
AllCare Building Services
James Zhang
Cell: 604-817-5857
Landline: 604-370-3237
Email: parkestates2@rservice.ca
Thomas Tam
604-328-2516 (do not give out)
Thomas.Tam@allbrightservices.ca (do not give out)</t>
  </si>
  <si>
    <t xml:space="preserve">Building Manager:
 Steve Shaw
Office: 778-397-3785
Cell: 604-376-3166 (do not give out)
Email: vhill@rservice.ca
</t>
  </si>
  <si>
    <t>$100 + $100 admin fee
furnished units $50</t>
  </si>
  <si>
    <t>Concierge 
ivyonthepark@rservice.ca 
604-790-0720
Building Manager
Ana
Ivymanager@alliancecleans.com
604-813-6250 (do not give out)</t>
  </si>
  <si>
    <t>Concierge
rivaconcierge@rservice.ca
Desk: 604-233-7761
Fax: 604-233-0275
Building Manager:
Russell Jung
604-928-4223
russell.jung@allbrightservices.ca</t>
  </si>
  <si>
    <t>Building Manager:
Naman Mavi
604-612-6021 (Ok to give out)
2rppbuildingmanager@rservice.ca
Concierge:
604-250-2006 (Ok to give out)
2RPP@rservice.ca</t>
  </si>
  <si>
    <t>Building Caretaker                                                                           
John Paul Ojeda
236-333-7046 (Ok to give out)</t>
  </si>
  <si>
    <t>LMC Maintenance Services
604-841-4819 (Ok to give out)
savoy@rservice.ca</t>
  </si>
  <si>
    <t>John Paul Ojeda
236-333-7046 (Ok to give out)
E15@rservice.ca</t>
  </si>
  <si>
    <t>Each Strata is responsible</t>
  </si>
  <si>
    <t>Dawson Building Manager
Stanley Chen
thedawson@rservice.ca
604-762-7688 (do not give out)</t>
  </si>
  <si>
    <t>Sukhminder Sidhu
sukhie1970@hotmail.com
604-498-0712</t>
  </si>
  <si>
    <t>EL</t>
  </si>
  <si>
    <r>
      <rPr>
        <b/>
        <sz val="9"/>
        <rFont val="Calibri"/>
        <family val="2"/>
        <scheme val="minor"/>
      </rPr>
      <t>BRIGHOUSE 22</t>
    </r>
    <r>
      <rPr>
        <sz val="9"/>
        <rFont val="Calibri"/>
        <family val="2"/>
        <scheme val="minor"/>
      </rPr>
      <t xml:space="preserve">
8699 Spires Road
8968 Cook Crescent
Richmond, BC V6Y 1W4</t>
    </r>
  </si>
  <si>
    <t>Concierge
604-315-8696
one.burrard@rservice.ca 
Building Manager:
Ishwor Gaire
236-777-0076
building.manager@oneburrardplace.com</t>
  </si>
  <si>
    <r>
      <rPr>
        <b/>
        <sz val="9"/>
        <color theme="1"/>
        <rFont val="Calibri"/>
        <family val="2"/>
        <scheme val="minor"/>
      </rPr>
      <t>SEASIDE RIDGE</t>
    </r>
    <r>
      <rPr>
        <sz val="9"/>
        <color theme="1"/>
        <rFont val="Calibri"/>
        <family val="2"/>
        <scheme val="minor"/>
      </rPr>
      <t xml:space="preserve">
1560 Prince Street
Port Moody, BC
V3H 3W8</t>
    </r>
  </si>
  <si>
    <r>
      <rPr>
        <b/>
        <sz val="9"/>
        <color theme="1"/>
        <rFont val="Calibri"/>
        <family val="2"/>
        <scheme val="minor"/>
      </rPr>
      <t>FRASER
TH SECTION</t>
    </r>
    <r>
      <rPr>
        <sz val="9"/>
        <color theme="1"/>
        <rFont val="Calibri"/>
        <family val="2"/>
        <scheme val="minor"/>
      </rPr>
      <t xml:space="preserve">
9735 University Crescent, Burnaby, BC V5A 0E8 
9739 University Crescent, Burnaby, BC V5A 0E8 
9733 University Crescent, Burnaby, BC V5A 0E8 
9278 Slopes Mews, Burnaby, BC V5A 0G1</t>
    </r>
  </si>
  <si>
    <r>
      <rPr>
        <b/>
        <sz val="9"/>
        <color theme="1"/>
        <rFont val="Calibri"/>
        <family val="2"/>
        <scheme val="minor"/>
      </rPr>
      <t>FRASER 
APT SECTION</t>
    </r>
    <r>
      <rPr>
        <sz val="9"/>
        <color theme="1"/>
        <rFont val="Calibri"/>
        <family val="2"/>
        <scheme val="minor"/>
      </rPr>
      <t xml:space="preserve">
9228 Slopes Mews, 
Burnaby, BC 
V5A 0E9</t>
    </r>
  </si>
  <si>
    <r>
      <rPr>
        <b/>
        <sz val="9"/>
        <color theme="1"/>
        <rFont val="Calibri"/>
        <family val="2"/>
        <scheme val="minor"/>
      </rPr>
      <t>FRASER
JOINT/STRATA CORPORATION</t>
    </r>
    <r>
      <rPr>
        <sz val="9"/>
        <color theme="1"/>
        <rFont val="Calibri"/>
        <family val="2"/>
        <scheme val="minor"/>
      </rPr>
      <t xml:space="preserve">
 9735 / 9739 / 9733 University Crescent, 
Burnaby, BC V5A 0E8 
9278 Slopes Mews, 
Burnaby, BC V5A 0G1 
9228 Slopes Mews, 
Burnaby, BC V5A 0E9</t>
    </r>
  </si>
  <si>
    <t>LMS0076</t>
  </si>
  <si>
    <t>30 TH Units</t>
  </si>
  <si>
    <t>5205
DISSOLVED as of March 1st, 2025</t>
  </si>
  <si>
    <t>EPS10723</t>
  </si>
  <si>
    <t>301 Units</t>
  </si>
  <si>
    <t>EPS10850</t>
  </si>
  <si>
    <t>Air Space Parcel</t>
  </si>
  <si>
    <t>Hercules Van Der Westhuizen 
604-328-4206
Email:
hercules.westhuizen@allbrightservices.ca
Delon Sogocio
dsogocio@allbrightservices.ca
Part time asst: 
Vikram Chahal 
Phone: 604-910-8982
Concierge: 604-689-9010 
Email:spectrumconcierge@rservice.ca</t>
  </si>
  <si>
    <t>Dina Guerrero                                                                                                 
tsawwassen.amenity@rservice.ca
(236) 788-4862                                                                                                                                                    
Mon - Fri 8:30 a.m. - 4:30 p.m.</t>
  </si>
  <si>
    <t>Site Contact:
Caretaker: John Paul Ojeda
Email: johnpaul@linis.ca</t>
  </si>
  <si>
    <t>Building Manager: John He
Email: sageubc@outlook.com
Phone number 604-788-0056</t>
  </si>
  <si>
    <r>
      <t xml:space="preserve">Concierge
Phone: 778-395-3433
Cell: 604-314-6320
Email: infinityconcierge@rservice.ca
Building Manager: Walter Oyuela
604-329-4887 </t>
    </r>
    <r>
      <rPr>
        <sz val="9"/>
        <color rgb="FFFF0000"/>
        <rFont val="Calibri"/>
        <family val="2"/>
      </rPr>
      <t xml:space="preserve">(do not give out)
email: woyuela@rservice.ca
</t>
    </r>
  </si>
  <si>
    <t>JP
604-836-8165 (do not give out)
hawthorne@rservice.ca (do not give out)
Jun
 jun@linis.ca
604-321-7544</t>
  </si>
  <si>
    <t>Rajan Thapa Magar 
604-862-0251 (do not give out)
orchidstrata@gmail.com (do not give out)</t>
  </si>
  <si>
    <t>Alfred 
Concierge
Phone: 604-273-4051
Email: aberdeenconcierge@rservice.ca</t>
  </si>
  <si>
    <t xml:space="preserve">Bldg. Super: Hector Aguilar
haguilar@allbrightservices.ca
Concierge: 604-688-9606
Fax: 604-688-9642
Email: azuraoneconcierge@rservice.ca
</t>
  </si>
  <si>
    <t>James
778-846-1914 (do not give out)
buildingmanager3@kellyboy.ca (do not give out)</t>
  </si>
  <si>
    <t xml:space="preserve">Jun Guevarra
jun@linis.ca 
604-351-7544 (do not give out)
John Paul
johnpaul@linis.ca (do not give out)
Benne Gapo
Ben.G@linis.ca </t>
  </si>
  <si>
    <t xml:space="preserve">Contact PM
</t>
  </si>
  <si>
    <t xml:space="preserve"> 
westpenderconcierge@gmail.com</t>
  </si>
  <si>
    <t xml:space="preserve"> 
6240mckay@gmail.com </t>
  </si>
  <si>
    <t xml:space="preserve">Ted Galvin
tgalvin@allbrightservices.ca </t>
  </si>
  <si>
    <r>
      <rPr>
        <b/>
        <sz val="9"/>
        <color theme="1"/>
        <rFont val="Calibri"/>
        <family val="2"/>
        <scheme val="minor"/>
      </rPr>
      <t>PIER WEST 
(EAST TOWER)</t>
    </r>
    <r>
      <rPr>
        <sz val="9"/>
        <color theme="1"/>
        <rFont val="Calibri"/>
        <family val="2"/>
        <scheme val="minor"/>
      </rPr>
      <t xml:space="preserve">
660 Quayside Drive
New Westminster, BC
V3M 0P1</t>
    </r>
  </si>
  <si>
    <t>MA
(AW is Admin)</t>
  </si>
  <si>
    <t>Move In Fee - $100.00 + $150.00 Admin Fee</t>
  </si>
  <si>
    <t>Move Out Fee - $150.00 Admin Fee</t>
  </si>
  <si>
    <r>
      <rPr>
        <b/>
        <sz val="9"/>
        <rFont val="Calibri"/>
        <family val="2"/>
        <scheme val="minor"/>
      </rPr>
      <t>THE THOMAS</t>
    </r>
    <r>
      <rPr>
        <sz val="9"/>
        <rFont val="Calibri"/>
        <family val="2"/>
        <scheme val="minor"/>
      </rPr>
      <t xml:space="preserve">
11907 223rd Street 
Maple Ridge BC 
V2X 4P9</t>
    </r>
  </si>
  <si>
    <t>Concierge (9 a.m. to 5 p.m. Monday to Friday)
604-785-0352 (okay to give out)
chloe@rservice.ca</t>
  </si>
  <si>
    <t>Building Manager: Ricardo Trejo
778-689-8376
ricardo.trejo@allbrightservices.ca 
Concierge: 604-838-7016 (cell – ok to give out)
604-872-3569 – desk
maynards@rservice.ca</t>
  </si>
  <si>
    <t>Marsh Insurance</t>
  </si>
  <si>
    <r>
      <rPr>
        <b/>
        <sz val="9"/>
        <color theme="1"/>
        <rFont val="Calibri"/>
        <family val="2"/>
        <scheme val="minor"/>
      </rPr>
      <t>ELEMENT 2</t>
    </r>
    <r>
      <rPr>
        <sz val="9"/>
        <color theme="1"/>
        <rFont val="Calibri"/>
        <family val="2"/>
        <scheme val="minor"/>
      </rPr>
      <t xml:space="preserve">
7161 17th Ave, Burnaby, BC
V3N 1K8</t>
    </r>
  </si>
  <si>
    <t>EPS10793</t>
  </si>
  <si>
    <t>27 Units</t>
  </si>
  <si>
    <r>
      <rPr>
        <b/>
        <sz val="9"/>
        <color theme="1"/>
        <rFont val="Calibri"/>
        <family val="2"/>
        <scheme val="minor"/>
      </rPr>
      <t>THE MANDARIN SHARE COST</t>
    </r>
    <r>
      <rPr>
        <sz val="9"/>
        <color theme="1"/>
        <rFont val="Calibri"/>
        <family val="2"/>
        <scheme val="minor"/>
      </rPr>
      <t xml:space="preserve">
</t>
    </r>
  </si>
  <si>
    <t>EPS11017</t>
  </si>
  <si>
    <t>275 Units</t>
  </si>
  <si>
    <r>
      <rPr>
        <b/>
        <sz val="9"/>
        <color theme="1"/>
        <rFont val="Calibri"/>
        <family val="2"/>
        <scheme val="minor"/>
      </rPr>
      <t xml:space="preserve">BELVEDERE 
(STRATA CORPORATION/JOINT)
</t>
    </r>
    <r>
      <rPr>
        <sz val="9"/>
        <color theme="1"/>
        <rFont val="Calibri"/>
        <family val="2"/>
        <scheme val="minor"/>
      </rPr>
      <t>9675 King George Blvd
Surrey, BC
V3T 0T7</t>
    </r>
  </si>
  <si>
    <r>
      <rPr>
        <b/>
        <sz val="9"/>
        <color theme="1"/>
        <rFont val="Calibri"/>
        <family val="2"/>
        <scheme val="minor"/>
      </rPr>
      <t xml:space="preserve">BELVEDERE 
(RESIDENTIAL SECTION)
</t>
    </r>
    <r>
      <rPr>
        <sz val="9"/>
        <color theme="1"/>
        <rFont val="Calibri"/>
        <family val="2"/>
        <scheme val="minor"/>
      </rPr>
      <t>9675 King George Blvd
 Surrey, BC
V3T 0T7</t>
    </r>
  </si>
  <si>
    <r>
      <rPr>
        <b/>
        <sz val="9"/>
        <color theme="1"/>
        <rFont val="Calibri"/>
        <family val="2"/>
        <scheme val="minor"/>
      </rPr>
      <t xml:space="preserve">BELVEDERE 
(COMMERCIAL SECTION)
</t>
    </r>
    <r>
      <rPr>
        <sz val="9"/>
        <color theme="1"/>
        <rFont val="Calibri"/>
        <family val="2"/>
        <scheme val="minor"/>
      </rPr>
      <t>9675 King George Blvd
 Surrey, BC
V3T 0T7</t>
    </r>
  </si>
  <si>
    <t>HB/DC 
(DC's Admin)</t>
  </si>
  <si>
    <t>LZ</t>
  </si>
  <si>
    <r>
      <rPr>
        <b/>
        <sz val="9"/>
        <color theme="1"/>
        <rFont val="Calibri"/>
        <family val="2"/>
        <scheme val="minor"/>
      </rPr>
      <t>PURA</t>
    </r>
    <r>
      <rPr>
        <sz val="9"/>
        <color theme="1"/>
        <rFont val="Calibri"/>
        <family val="2"/>
        <scheme val="minor"/>
      </rPr>
      <t xml:space="preserve">
13238 105 Avenue
13258 105 Avenue
Surrey, BC</t>
    </r>
  </si>
  <si>
    <t>EPS10005</t>
  </si>
  <si>
    <t>Phase One – 136
Phase Two – 112
TOTAL – 248 Units</t>
  </si>
  <si>
    <r>
      <rPr>
        <b/>
        <sz val="9"/>
        <color theme="1"/>
        <rFont val="Calibri"/>
        <family val="2"/>
        <scheme val="minor"/>
      </rPr>
      <t>KING AND COLUMBIA 2</t>
    </r>
    <r>
      <rPr>
        <sz val="9"/>
        <color theme="1"/>
        <rFont val="Calibri"/>
        <family val="2"/>
        <scheme val="minor"/>
      </rPr>
      <t xml:space="preserve">
157 West King Edward
161 West King Edward
163 West King Edward Avenue
 Vancouver, BC
 V5Y 2H8</t>
    </r>
  </si>
  <si>
    <t>EPS10940</t>
  </si>
  <si>
    <t>683 Residential Units</t>
  </si>
  <si>
    <r>
      <rPr>
        <b/>
        <sz val="9"/>
        <rFont val="Calibri"/>
        <family val="2"/>
        <scheme val="minor"/>
      </rPr>
      <t xml:space="preserve">THE NEWMARK </t>
    </r>
    <r>
      <rPr>
        <sz val="9"/>
        <rFont val="Calibri"/>
        <family val="2"/>
        <scheme val="minor"/>
      </rPr>
      <t xml:space="preserve">
</t>
    </r>
    <r>
      <rPr>
        <b/>
        <sz val="9"/>
        <rFont val="Calibri"/>
        <family val="2"/>
        <scheme val="minor"/>
      </rPr>
      <t>(Residential Section)</t>
    </r>
    <r>
      <rPr>
        <sz val="9"/>
        <rFont val="Calibri"/>
        <family val="2"/>
        <scheme val="minor"/>
      </rPr>
      <t xml:space="preserve">
4888 Hazel Street
Burnaby, BC
V5H 4T4</t>
    </r>
  </si>
  <si>
    <t>105 Residential Units
53 Commercial Units
TOTAL – 158 Units</t>
  </si>
  <si>
    <r>
      <rPr>
        <b/>
        <sz val="9"/>
        <color theme="4"/>
        <rFont val="Calibri"/>
        <family val="2"/>
        <scheme val="minor"/>
      </rPr>
      <t>CLUB GILMORE</t>
    </r>
    <r>
      <rPr>
        <sz val="9"/>
        <color theme="4"/>
        <rFont val="Calibri"/>
        <family val="2"/>
        <scheme val="minor"/>
      </rPr>
      <t xml:space="preserve">
2186 Gilmore Avenue
Burnaby, BC
V5C 0N7</t>
    </r>
  </si>
  <si>
    <t>Cam Brister
cbrister@allbrightservices.ca
604-312-9936</t>
  </si>
  <si>
    <t>$100 Move-in fee
(bylaws amendment for move-in fee change to $200 has not been registered)
$200 Deposit
$100 Elevator key deposit (cash only)</t>
  </si>
  <si>
    <t>Building Manager: Sophia He 
Telephone: 604-809-3165 
Monday to Friday (8 a.m. to 4 p.m.) 
Building Manager: Mike Ning/Chiu Wan/Cynthia Liu Telephone: 604-809-3124 
Monday to Sunday (10 a.m. to 6 p.m.) 
Email: avanti@rservice.ca</t>
  </si>
  <si>
    <t>Samuel Chu
778-828-2831
paramountoffice@rservice.ca</t>
  </si>
  <si>
    <t>EPS10909</t>
  </si>
  <si>
    <t>Accounting Only</t>
  </si>
  <si>
    <r>
      <rPr>
        <b/>
        <sz val="9"/>
        <color theme="1"/>
        <rFont val="Calibri"/>
        <family val="2"/>
        <scheme val="minor"/>
      </rPr>
      <t>GIBSON RESIDENCES</t>
    </r>
    <r>
      <rPr>
        <sz val="9"/>
        <color theme="1"/>
        <rFont val="Calibri"/>
        <family val="2"/>
        <scheme val="minor"/>
      </rPr>
      <t xml:space="preserve">
1961, 1963, 1967 Napier Street
1051, 1061, 1071, 1081 Semlin Drive
Vancouver, B.C. 
V5L 2N6</t>
    </r>
  </si>
  <si>
    <t>280 Units</t>
  </si>
  <si>
    <t>Concierge:
belvedereconcierge@rservice.ca
604-219-4530
Building Manager:
belvederebm@rservice.ca
604-219-4682</t>
  </si>
  <si>
    <t>CKS/KN  (KaWing is PM)
(AW is Admin)</t>
  </si>
  <si>
    <t>KN
(AW is Admin)</t>
  </si>
  <si>
    <t>CKS/KN  
(KaWing is PM)
(AW is Admin)</t>
  </si>
  <si>
    <t>CKS/KN  
(KaWing)
(AW is Admin)</t>
  </si>
  <si>
    <t>KN 
(AW is Admin)</t>
  </si>
  <si>
    <t>EPS11140</t>
  </si>
  <si>
    <t xml:space="preserve">YM/JT
(Ylya)
</t>
  </si>
  <si>
    <t xml:space="preserve">Dennis McCrossan (Building Manager)
604-209-6191 (office – ok to give out)
778-321-3560 (cell – do not give out)
augustagrove@rservice.ca </t>
  </si>
  <si>
    <t>MC 
(Admin Pool is Admin)</t>
  </si>
  <si>
    <t>Hub
(4350 Still Creek Drive branch)</t>
  </si>
  <si>
    <t>Building Manager
Chan Yun
bm1335howe@yahoo.com (do not give out)
604-786-4478 (do not give out)
Concierge
Bryan
1335.howe@rservice.ca (ok to give out)
604-833-1600 (ok to give out)</t>
  </si>
  <si>
    <t xml:space="preserve">$200 (weekdays) / $325 (weekends) </t>
  </si>
  <si>
    <t>$200 ($50 furnished)</t>
  </si>
  <si>
    <t xml:space="preserve">David Cai
Binning Building Manager
Bus: (778) 985-9141
E-mail: Binningbldgmgr@gmail.com
On site 8am – 4pm, Monday to Friday (Weekends Off) </t>
  </si>
  <si>
    <r>
      <rPr>
        <b/>
        <sz val="9"/>
        <color theme="1"/>
        <rFont val="Calibri"/>
        <family val="2"/>
        <scheme val="minor"/>
      </rPr>
      <t>BERKELEY HOUSE</t>
    </r>
    <r>
      <rPr>
        <sz val="9"/>
        <color theme="1"/>
        <rFont val="Calibri"/>
        <family val="2"/>
        <scheme val="minor"/>
      </rPr>
      <t xml:space="preserve">
9213 Odlin Road,
Richmond, BC V6X 0V5
9233 Odlin Road
Richmond, BC V6X 0V4</t>
    </r>
  </si>
  <si>
    <t>EPS6677</t>
  </si>
  <si>
    <t>Phase 1 (130 Residential Units) 
Phase 2 (135 Residential Units)
TOTAL - 265</t>
  </si>
  <si>
    <r>
      <rPr>
        <b/>
        <sz val="9"/>
        <color theme="1"/>
        <rFont val="Calibri"/>
        <family val="2"/>
        <scheme val="minor"/>
      </rPr>
      <t>WILDWOOD</t>
    </r>
    <r>
      <rPr>
        <sz val="9"/>
        <color theme="1"/>
        <rFont val="Calibri"/>
        <family val="2"/>
        <scheme val="minor"/>
      </rPr>
      <t xml:space="preserve">
3950, 3952, 3956, 3958, 3960, 3962, 3968, 3972, 3976, 3978, 
3980, 3982, 3986, 3992, 3996, 3998 Uplands Way
West Vancouver, B.C.</t>
    </r>
  </si>
  <si>
    <t>EPS8151</t>
  </si>
  <si>
    <t>16 Bareland Strata</t>
  </si>
  <si>
    <t xml:space="preserve">Bareland Strata, 
Financial Only </t>
  </si>
  <si>
    <r>
      <t xml:space="preserve">5755
</t>
    </r>
    <r>
      <rPr>
        <b/>
        <sz val="9"/>
        <color rgb="FFFF0000"/>
        <rFont val="Calibri"/>
        <family val="2"/>
        <scheme val="minor"/>
      </rPr>
      <t>NLM as of March 31, 2025</t>
    </r>
    <r>
      <rPr>
        <b/>
        <sz val="9"/>
        <rFont val="Calibri"/>
        <family val="2"/>
        <scheme val="minor"/>
      </rPr>
      <t xml:space="preserve">
</t>
    </r>
    <r>
      <rPr>
        <b/>
        <sz val="9"/>
        <color rgb="FFFF0000"/>
        <rFont val="Calibri"/>
        <family val="2"/>
        <scheme val="minor"/>
      </rPr>
      <t>Dwell Property Management</t>
    </r>
  </si>
  <si>
    <r>
      <t xml:space="preserve">5644
</t>
    </r>
    <r>
      <rPr>
        <b/>
        <sz val="9"/>
        <color rgb="FFFF0000"/>
        <rFont val="Calibri"/>
        <family val="2"/>
        <scheme val="minor"/>
      </rPr>
      <t>NLM as of March 31, 2025
Dwell Property Management</t>
    </r>
    <r>
      <rPr>
        <b/>
        <sz val="9"/>
        <color theme="1"/>
        <rFont val="Calibri"/>
        <family val="2"/>
        <scheme val="minor"/>
      </rPr>
      <t xml:space="preserve">
</t>
    </r>
    <r>
      <rPr>
        <b/>
        <sz val="9"/>
        <rFont val="Calibri"/>
        <family val="2"/>
        <scheme val="minor"/>
      </rPr>
      <t>Newstar:
Pearson 5644-1
Hollybridge 5644-2</t>
    </r>
  </si>
  <si>
    <r>
      <t xml:space="preserve">5727
</t>
    </r>
    <r>
      <rPr>
        <b/>
        <sz val="9"/>
        <color rgb="FFFF0000"/>
        <rFont val="Calibri"/>
        <family val="2"/>
        <scheme val="minor"/>
      </rPr>
      <t>NLM as of March 31, 2025</t>
    </r>
    <r>
      <rPr>
        <b/>
        <sz val="9"/>
        <rFont val="Calibri"/>
        <family val="2"/>
        <scheme val="minor"/>
      </rPr>
      <t xml:space="preserve">
</t>
    </r>
    <r>
      <rPr>
        <b/>
        <sz val="9"/>
        <color rgb="FFFF0000"/>
        <rFont val="Calibri"/>
        <family val="2"/>
        <scheme val="minor"/>
      </rPr>
      <t>Dwell Property Management</t>
    </r>
  </si>
  <si>
    <r>
      <t xml:space="preserve">5728
</t>
    </r>
    <r>
      <rPr>
        <b/>
        <sz val="9"/>
        <color rgb="FFFF0000"/>
        <rFont val="Calibri"/>
        <family val="2"/>
        <scheme val="minor"/>
      </rPr>
      <t>NLM as of March 31, 2025</t>
    </r>
    <r>
      <rPr>
        <b/>
        <sz val="9"/>
        <rFont val="Calibri"/>
        <family val="2"/>
        <scheme val="minor"/>
      </rPr>
      <t xml:space="preserve">
</t>
    </r>
    <r>
      <rPr>
        <b/>
        <sz val="9"/>
        <color rgb="FFFF0000"/>
        <rFont val="Calibri"/>
        <family val="2"/>
        <scheme val="minor"/>
      </rPr>
      <t>Dwell Property Management</t>
    </r>
  </si>
  <si>
    <r>
      <t xml:space="preserve">5729
</t>
    </r>
    <r>
      <rPr>
        <b/>
        <sz val="9"/>
        <color rgb="FFFF0000"/>
        <rFont val="Calibri"/>
        <family val="2"/>
        <scheme val="minor"/>
      </rPr>
      <t>NLM as of March 31, 2025</t>
    </r>
    <r>
      <rPr>
        <b/>
        <sz val="9"/>
        <rFont val="Calibri"/>
        <family val="2"/>
        <scheme val="minor"/>
      </rPr>
      <t xml:space="preserve">
</t>
    </r>
    <r>
      <rPr>
        <b/>
        <sz val="9"/>
        <color rgb="FFFF0000"/>
        <rFont val="Calibri"/>
        <family val="2"/>
        <scheme val="minor"/>
      </rPr>
      <t>Dwell Property Management</t>
    </r>
  </si>
  <si>
    <t>Concierge:
Name: Anson Yan
Email: themetconcierge@rservice.ca
Cell: 604-341-0457
Office: 604-449-5397 
Fax: 604-449-5398 
*Wayne Chan covers the evening shift.
Building Manager Name: Julian Wang
Building Manager Email: pangubm@gmail.com
Building Manager Phone: 604-418-4881</t>
  </si>
  <si>
    <t>EPS11309</t>
  </si>
  <si>
    <t>80 Residential Units
1 Daycare</t>
  </si>
  <si>
    <t>80 Residential Units</t>
  </si>
  <si>
    <t>EPS10947</t>
  </si>
  <si>
    <t>332 Residential Units</t>
  </si>
  <si>
    <r>
      <rPr>
        <b/>
        <sz val="9"/>
        <color theme="1"/>
        <rFont val="Calibri"/>
        <family val="2"/>
        <scheme val="minor"/>
      </rPr>
      <t>JINJU</t>
    </r>
    <r>
      <rPr>
        <sz val="9"/>
        <color theme="1"/>
        <rFont val="Calibri"/>
        <family val="2"/>
        <scheme val="minor"/>
      </rPr>
      <t xml:space="preserve">
537 Cottonwood Avenue
Coquitlam, B.C.
V3J 0S4 </t>
    </r>
  </si>
  <si>
    <t>Building Manager: 
Josef Guo
604-219-5606 (DO NOT GIVE OUT)
Email: josef.guo@allbrightservices.ca
Daytime Concierge : Andrea
Cell: 604-789-2856
Office: 604-789-2856
Email: SouthEstates@rservice.ca
Concierge Company Name: CMI (as of Dec 10, 2024)
Afternoon Concierge: Mark Wang
Nighttime Concierge : Sandeep</t>
  </si>
  <si>
    <t>EPS8288</t>
  </si>
  <si>
    <t>162 Units</t>
  </si>
  <si>
    <t>Concierge
picassoconcierge@rservice.ca
604-837-3806
Building Manager
Cathy Wang
604-319-3143
picassobm@rservice.ca</t>
  </si>
  <si>
    <t>Building Manager: 
Cameron Brister 
Email: cbrister@allbrightservices.ca
Phone: 604-312-9936 (please do not give out to residents)</t>
  </si>
  <si>
    <t>MR</t>
  </si>
  <si>
    <t>EPS10851</t>
  </si>
  <si>
    <t>Commercial Strata</t>
  </si>
  <si>
    <t>1 Unit</t>
  </si>
  <si>
    <r>
      <rPr>
        <b/>
        <sz val="9"/>
        <color rgb="FFFF0000"/>
        <rFont val="Calibri"/>
        <family val="2"/>
        <scheme val="minor"/>
      </rPr>
      <t>PICASSO GALLERIA ARTS SPACE (ASP 4)</t>
    </r>
    <r>
      <rPr>
        <sz val="9"/>
        <color rgb="FFFF0000"/>
        <rFont val="Calibri"/>
        <family val="2"/>
        <scheme val="minor"/>
      </rPr>
      <t xml:space="preserve">
110-8671 Hazelbridge Way
Richmond, BC</t>
    </r>
  </si>
  <si>
    <r>
      <rPr>
        <b/>
        <sz val="9"/>
        <color rgb="FFFF0000"/>
        <rFont val="Calibri"/>
        <family val="2"/>
        <scheme val="minor"/>
      </rPr>
      <t>PICASSO GALLERIA RETAIL (REMAINDER)</t>
    </r>
    <r>
      <rPr>
        <sz val="9"/>
        <color rgb="FFFF0000"/>
        <rFont val="Calibri"/>
        <family val="2"/>
        <scheme val="minor"/>
      </rPr>
      <t xml:space="preserve">
8531-8539 Capstan Way, 
115-3328 No 3 Road, Commercial Parkade
Richmond, B.C.</t>
    </r>
  </si>
  <si>
    <r>
      <rPr>
        <b/>
        <sz val="9"/>
        <color rgb="FFFF0000"/>
        <rFont val="Calibri"/>
        <family val="2"/>
        <scheme val="minor"/>
      </rPr>
      <t>PICASSO GALLERIA CONCORD GARDENS 
RENTAL HOUSING UNIT (ASP 2)</t>
    </r>
    <r>
      <rPr>
        <sz val="9"/>
        <color rgb="FFFF0000"/>
        <rFont val="Calibri"/>
        <family val="2"/>
        <scheme val="minor"/>
      </rPr>
      <t xml:space="preserve">
3328 No. 3 Road
Richmond, BC
V6X 0X1</t>
    </r>
  </si>
  <si>
    <r>
      <t xml:space="preserve">NORTHWEST 
</t>
    </r>
    <r>
      <rPr>
        <sz val="9"/>
        <color theme="4"/>
        <rFont val="Calibri"/>
        <family val="2"/>
        <scheme val="minor"/>
      </rPr>
      <t>EAST TOWER (E)</t>
    </r>
    <r>
      <rPr>
        <b/>
        <sz val="9"/>
        <color theme="4"/>
        <rFont val="Calibri"/>
        <family val="2"/>
        <scheme val="minor"/>
      </rPr>
      <t xml:space="preserve">
</t>
    </r>
    <r>
      <rPr>
        <sz val="9"/>
        <color theme="4"/>
        <rFont val="Calibri"/>
        <family val="2"/>
        <scheme val="minor"/>
      </rPr>
      <t>8189 Cambie Street
Vancouver, B.C. V6P 0G6
WEST TOWER (W)
8238 Lord Street
Vanocuver, B.C. V6P 0G7</t>
    </r>
  </si>
  <si>
    <r>
      <t xml:space="preserve">5171
</t>
    </r>
    <r>
      <rPr>
        <b/>
        <sz val="9"/>
        <color rgb="FFFF0000"/>
        <rFont val="Calibri"/>
        <family val="2"/>
        <scheme val="minor"/>
      </rPr>
      <t>NLM as of April 30, 2025
Ascent</t>
    </r>
  </si>
  <si>
    <r>
      <t xml:space="preserve">5396
</t>
    </r>
    <r>
      <rPr>
        <b/>
        <sz val="9"/>
        <color rgb="FFFF0000"/>
        <rFont val="Calibri"/>
        <family val="2"/>
        <scheme val="minor"/>
      </rPr>
      <t>NLM as of April 30, 2025</t>
    </r>
    <r>
      <rPr>
        <b/>
        <sz val="9"/>
        <rFont val="Calibri"/>
        <family val="2"/>
        <scheme val="minor"/>
      </rPr>
      <t xml:space="preserve">
</t>
    </r>
    <r>
      <rPr>
        <b/>
        <sz val="9"/>
        <color rgb="FFFF0000"/>
        <rFont val="Calibri"/>
        <family val="2"/>
        <scheme val="minor"/>
      </rPr>
      <t>Colosseum Property Management</t>
    </r>
  </si>
  <si>
    <r>
      <t xml:space="preserve">5307
</t>
    </r>
    <r>
      <rPr>
        <b/>
        <sz val="9"/>
        <color rgb="FFFF0000"/>
        <rFont val="Calibri"/>
        <family val="2"/>
        <scheme val="minor"/>
      </rPr>
      <t>NLM as of April 30, 2025</t>
    </r>
    <r>
      <rPr>
        <b/>
        <sz val="9"/>
        <color rgb="FF0070C0"/>
        <rFont val="Calibri"/>
        <family val="2"/>
        <scheme val="minor"/>
      </rPr>
      <t xml:space="preserve">
</t>
    </r>
    <r>
      <rPr>
        <b/>
        <sz val="9"/>
        <color rgb="FFFF0000"/>
        <rFont val="Calibri"/>
        <family val="2"/>
        <scheme val="minor"/>
      </rPr>
      <t>Stratawest Management</t>
    </r>
  </si>
  <si>
    <r>
      <t xml:space="preserve">5349
</t>
    </r>
    <r>
      <rPr>
        <b/>
        <sz val="9"/>
        <color rgb="FFFF0000"/>
        <rFont val="Calibri"/>
        <family val="2"/>
        <scheme val="minor"/>
      </rPr>
      <t>NLM as of April 30, 2025
Wynford Group</t>
    </r>
    <r>
      <rPr>
        <b/>
        <sz val="9"/>
        <color rgb="FF0070C0"/>
        <rFont val="Calibri"/>
        <family val="2"/>
        <scheme val="minor"/>
      </rPr>
      <t xml:space="preserve">
5349-1 (West)
5349-2 (East)
5349-TH (Townhomes)
</t>
    </r>
  </si>
  <si>
    <r>
      <t xml:space="preserve">5698
</t>
    </r>
    <r>
      <rPr>
        <b/>
        <sz val="9"/>
        <color rgb="FFFF0000"/>
        <rFont val="Calibri"/>
        <family val="2"/>
        <scheme val="minor"/>
      </rPr>
      <t>NLM as of April 30, 2025
Stratawest Management</t>
    </r>
  </si>
  <si>
    <t>Building Caretaker
Andrei and Georgeta Lorincz
Tel.: (604) 790-8002 (Ok to give out)
E-mail: 
caretaker@thepolaris.ca (do not use)
polariscaretaker@gmail.com(ok to give out)</t>
  </si>
  <si>
    <t>SUNCORP
Year 2</t>
  </si>
  <si>
    <t>Phase One – 77 Units
Phase Two – 80 Units
TOTAL – 157 Units</t>
  </si>
  <si>
    <t xml:space="preserve">Building Manager: 
Terence Melo (Kellyboy) 
Tel: 604.738-2340 (do not give out)
Cell: 604.396-0515 (do not give out)
Email: buildingmanager2@kellyboy.ca
Mon-Fri 8am-4pm </t>
  </si>
  <si>
    <t>EPS10989</t>
  </si>
  <si>
    <t>EPS10007</t>
  </si>
  <si>
    <r>
      <rPr>
        <b/>
        <sz val="9"/>
        <color theme="1"/>
        <rFont val="Calibri"/>
        <family val="2"/>
        <scheme val="minor"/>
      </rPr>
      <t>CHLOE COMMERCIAL</t>
    </r>
    <r>
      <rPr>
        <sz val="9"/>
        <color theme="1"/>
        <rFont val="Calibri"/>
        <family val="2"/>
        <scheme val="minor"/>
      </rPr>
      <t xml:space="preserve">
2092, 2094 West 47th Avenue
6306, 6316, 6326, 6336, 6346, 6350, 6370, 6390 East Boulevard
2099 West 48th Avenue
Vancouver, B.C.</t>
    </r>
  </si>
  <si>
    <t>EPS9998</t>
  </si>
  <si>
    <t>EPS7988</t>
  </si>
  <si>
    <t>Phase One – 84 Units
Phase Two – 115 Units
TOTAL – 199 Units</t>
  </si>
  <si>
    <t>EPS8403</t>
  </si>
  <si>
    <t>Phase One – 84 Units
Phase Two – 43 Units
TOTAL – 127 Units</t>
  </si>
  <si>
    <r>
      <rPr>
        <b/>
        <sz val="9"/>
        <color theme="1"/>
        <rFont val="Calibri"/>
        <family val="2"/>
        <scheme val="minor"/>
      </rPr>
      <t>RIVERSIDE</t>
    </r>
    <r>
      <rPr>
        <sz val="9"/>
        <color theme="1"/>
        <rFont val="Calibri"/>
        <family val="2"/>
        <scheme val="minor"/>
      </rPr>
      <t xml:space="preserve">
11151, 11171, 11191 Horseshoe Way
Richmond, BC
V7A 4S5</t>
    </r>
  </si>
  <si>
    <t>LMS1585</t>
  </si>
  <si>
    <t>60 Industrial Warehouse Units</t>
  </si>
  <si>
    <r>
      <rPr>
        <b/>
        <sz val="9"/>
        <color rgb="FFFF0000"/>
        <rFont val="Calibri"/>
        <family val="2"/>
        <scheme val="minor"/>
      </rPr>
      <t xml:space="preserve">PARK GEORGE </t>
    </r>
    <r>
      <rPr>
        <sz val="9"/>
        <color rgb="FFFF0000"/>
        <rFont val="Calibri"/>
        <family val="2"/>
        <scheme val="minor"/>
      </rPr>
      <t xml:space="preserve">
13768 100 Avenue, Surrey, BC V3T 0V2 
13778 100 Avenue, Surrey, BC V3T 0V3</t>
    </r>
  </si>
  <si>
    <t>Serge Schnob
Email: hotelmgr.whistler@executivehotels.net
Anthony Lamb
Email: gm@executivesuitessquamish.com</t>
  </si>
  <si>
    <t xml:space="preserve">Bandana Thapa (Precise Building)
Tuesday, Thursday, Saturday
604-786-7171
lina@rservice.ca </t>
  </si>
  <si>
    <t>Building Staff: 
Shehbaaz
604-836-7178
union@rservice.ca</t>
  </si>
  <si>
    <t>Building Staff:
Peter Kwok
236-858-2491 (do not give out)
oneburrardoffice@rservice.ca (do not give out)</t>
  </si>
  <si>
    <t>Building Staff
Jason Leung
604-762-7688(do not give out)
alba@rservice.ca</t>
  </si>
  <si>
    <t>Building Manager
Akshat
778-875-5586
theresidences@rservice.ca
Office Hours: 
Monday to Friday, 8am-4pm</t>
  </si>
  <si>
    <t xml:space="preserve">Building Manager:
Edward Agyemang 
604-619-7024
centreviewbm@rservice.ca
Concierge
604-619-5450
Centreviewconcierge@rservice.ca </t>
  </si>
  <si>
    <t>Concierge
Tel: 778-689-5889
brookmereconcierge@rservice.ca
Buidling Manager 
Shehbaz 
604-836-7178
BrookmereBM@rservice.ca</t>
  </si>
  <si>
    <t>KH
(Juliana is Admin)</t>
  </si>
  <si>
    <t xml:space="preserve">Bldg. Super: Ben Longno
Cell: 604-839-5060
blongno@rservice.ca </t>
  </si>
  <si>
    <t>Building Manager
Kevin Ross 
berkeleyhousemanager@gmail.com
604-369-4039</t>
  </si>
  <si>
    <t xml:space="preserve">Caretaker
Belle Hundal
Tel: 604-788-6165
Email: Kensington@rservice.ca
</t>
  </si>
  <si>
    <t xml:space="preserve">Caretaker
Belle Hundal
Tel: 604-788-6165
Email: Kensington@rservice.ca
</t>
  </si>
  <si>
    <t>Building Manager:
Maja Andrejevic
maja@ecoplanetcanada.ca
Site Contact: Simran
Telephone: 604-218-1893
Email: thedrive2@rservice.ca</t>
  </si>
  <si>
    <t>Anthony Kwok
residencesatwest@gmail.com
604-828-2933 
Monday to Friday
8:30-4:30</t>
  </si>
  <si>
    <t>PR</t>
  </si>
  <si>
    <t>Cosmo Concierge 
Concierge Desk: 604-893-8594
Concierge Cellphone: 778-980-4387
Concierge Email: cosmoconcierge@rservice.ca
Building Manager: Chiu 
cosmo@rservice.ca 
604-762-7688 (do not give out)</t>
  </si>
  <si>
    <t>Charlene
778-355-6895
info@ariaclub.ca</t>
  </si>
  <si>
    <t>EPS11271</t>
  </si>
  <si>
    <t>Tower 1 – 156 units 
Tower 2 - 340 units 
TOTAL - 496</t>
  </si>
  <si>
    <r>
      <rPr>
        <b/>
        <sz val="9"/>
        <color theme="1"/>
        <rFont val="Calibri"/>
        <family val="2"/>
        <scheme val="minor"/>
      </rPr>
      <t>WATER STREET BY THE PARK</t>
    </r>
    <r>
      <rPr>
        <sz val="9"/>
        <color theme="1"/>
        <rFont val="Calibri"/>
        <family val="2"/>
        <scheme val="minor"/>
      </rPr>
      <t xml:space="preserve">
Tower 1
 238 Leon Avenue, Kelowna, BC V1Y 0N6
Tower 2 (The Eli) 
 1626 Water Street, Kelowna, BC V1Y 0N7</t>
    </r>
  </si>
  <si>
    <t>EPS10854</t>
  </si>
  <si>
    <t xml:space="preserve">Normal Strata </t>
  </si>
  <si>
    <r>
      <rPr>
        <b/>
        <sz val="9"/>
        <color theme="1"/>
        <rFont val="Calibri"/>
        <family val="2"/>
        <scheme val="minor"/>
      </rPr>
      <t xml:space="preserve">BASTILLE </t>
    </r>
    <r>
      <rPr>
        <sz val="9"/>
        <color theme="1"/>
        <rFont val="Calibri"/>
        <family val="2"/>
        <scheme val="minor"/>
      </rPr>
      <t xml:space="preserve">
215 McBay Lane
209 McBay Lane
Coquitlam, B.C. </t>
    </r>
  </si>
  <si>
    <r>
      <rPr>
        <b/>
        <sz val="9"/>
        <color theme="1"/>
        <rFont val="Calibri"/>
        <family val="2"/>
        <scheme val="minor"/>
      </rPr>
      <t xml:space="preserve">ANCHOR
</t>
    </r>
    <r>
      <rPr>
        <sz val="9"/>
        <color theme="1"/>
        <rFont val="Calibri"/>
        <family val="2"/>
        <scheme val="minor"/>
      </rPr>
      <t>(North Building)
1100 Clarke Rd
Port Moody, BC  V3H 0N3
(South Building) 
2002 St. George St
Port Moody BC,  V3H 0N4</t>
    </r>
  </si>
  <si>
    <t>Morning Building Manager
Hector Aguilar 
Phone: 778-879-1522 (Do Not Give Out)
Afternoon Building Manager:
Ricardo Trejo
Cell: 778-689-8376 (do not give out)
ricardo.trejo@allbrightservices.ca
Phone: 604-813-6463
Fax: 604-685-1109
Concierge: 604-681-0878
Cell: 604-812-9965
Email: superclubconcierge@rservice.ca</t>
  </si>
  <si>
    <t>&gt;48h in advance:  $200.00
24h-48h in advance: $250.00
&lt;24H in advance: $300.00</t>
  </si>
  <si>
    <t>Building Caretaker: Steve Catterall
Email: Caretaker.silveroak@gmail.com
Tel: 778-991-7046
Monday - Friday 7AM - 3:30 PM</t>
  </si>
  <si>
    <t>Concierge:
cirrus@rservice.ca 
778-866-8703
Building Manager:
Enoch Kwame Kongire
778-952-3857
cirrus@alliancecleans.com</t>
  </si>
  <si>
    <t>Caretaker: Abdou Thiam
Email: quinn@rservice.ca
Mobile: (604) 240-1655
Hours: Monday to Friday, 8:00 am - 4:00 pm</t>
  </si>
  <si>
    <t>Wednesday, July 30, 2025
(Phase 1-3)</t>
  </si>
  <si>
    <r>
      <rPr>
        <b/>
        <sz val="9"/>
        <color theme="1"/>
        <rFont val="Calibri"/>
        <family val="2"/>
        <scheme val="minor"/>
      </rPr>
      <t>HIGHLAND PARK</t>
    </r>
    <r>
      <rPr>
        <sz val="9"/>
        <color theme="1"/>
        <rFont val="Calibri"/>
        <family val="2"/>
        <scheme val="minor"/>
      </rPr>
      <t xml:space="preserve">
2501 161 A Street, Surrey, BC
V3Z 7Y6</t>
    </r>
  </si>
  <si>
    <t>BCS2896</t>
  </si>
  <si>
    <t xml:space="preserve">Phase 1 - 9 Units
Phase 2 - 16 Units
Phase 3 - 15 Units
Phase 4 - 14 Units
Phase 5 - 7 Units
Phase 6 - 1 Unit
Phase 7 - 8 Units
Phase 8 - 25 Units
Phase 9 - 8 Units
Phase 10 - 16 Units
Phase 11 - 8 Units
Phase 12 - 8 Units
Phase 13 - 16 Units
Phase 14 - 8 Units
Phase 15 - 17 Units
Phase 16 - 18 Units
Phase 17 - 16 Units
Phase 18 - 18 Units
Phase 19 - 20 Units
Phase 20 - 13 Units
TOTAL - 261 Units </t>
  </si>
  <si>
    <r>
      <rPr>
        <b/>
        <sz val="9"/>
        <color theme="1"/>
        <rFont val="Calibri"/>
        <family val="2"/>
        <scheme val="minor"/>
      </rPr>
      <t>HIGHLAND PARK AMENITIES</t>
    </r>
    <r>
      <rPr>
        <sz val="9"/>
        <color theme="1"/>
        <rFont val="Calibri"/>
        <family val="2"/>
        <scheme val="minor"/>
      </rPr>
      <t xml:space="preserve">
2501 161 A Street, Surrey, BC
V3Z 7Y6</t>
    </r>
  </si>
  <si>
    <t xml:space="preserve">N/A
</t>
  </si>
  <si>
    <r>
      <rPr>
        <b/>
        <sz val="9"/>
        <color theme="1"/>
        <rFont val="Calibri"/>
        <family val="2"/>
        <scheme val="minor"/>
      </rPr>
      <t>SOTO ON 28</t>
    </r>
    <r>
      <rPr>
        <sz val="9"/>
        <color theme="1"/>
        <rFont val="Calibri"/>
        <family val="2"/>
        <scheme val="minor"/>
      </rPr>
      <t xml:space="preserve">
539, 551, 555, 561 
West 28th
Vancouver, BC</t>
    </r>
  </si>
  <si>
    <t>EPS11532</t>
  </si>
  <si>
    <t>21 TH Units</t>
  </si>
  <si>
    <r>
      <rPr>
        <b/>
        <sz val="9"/>
        <color theme="1"/>
        <rFont val="Calibri"/>
        <family val="2"/>
        <scheme val="minor"/>
      </rPr>
      <t>GRAFIA – JOINT</t>
    </r>
    <r>
      <rPr>
        <sz val="9"/>
        <color theme="1"/>
        <rFont val="Calibri"/>
        <family val="2"/>
        <scheme val="minor"/>
      </rPr>
      <t xml:space="preserve">
2450 Garden Drive, Vancouver, BC V5N 0K1
2305-2351 East Broadway, Vancouver, BC V5N 0K1</t>
    </r>
  </si>
  <si>
    <r>
      <rPr>
        <b/>
        <sz val="9"/>
        <color theme="1"/>
        <rFont val="Calibri"/>
        <family val="2"/>
        <scheme val="minor"/>
      </rPr>
      <t>GRAFIA – RESIDENTIAL SECTION</t>
    </r>
    <r>
      <rPr>
        <sz val="9"/>
        <color theme="1"/>
        <rFont val="Calibri"/>
        <family val="2"/>
        <scheme val="minor"/>
      </rPr>
      <t xml:space="preserve">
2450 Garden Drive, Vancouver, BC V5N 0K1 
2305-2351 East Broadway, Vancouver, BC V5N 0K1</t>
    </r>
  </si>
  <si>
    <r>
      <rPr>
        <b/>
        <sz val="9"/>
        <color theme="1"/>
        <rFont val="Calibri"/>
        <family val="2"/>
        <scheme val="minor"/>
      </rPr>
      <t>GRAFIA – COMMERCIAL SECTION</t>
    </r>
    <r>
      <rPr>
        <sz val="9"/>
        <color theme="1"/>
        <rFont val="Calibri"/>
        <family val="2"/>
        <scheme val="minor"/>
      </rPr>
      <t xml:space="preserve">
2450 Garden Drive, Vancouver, BC V5N 0K1 
2305-2351 East Broadway, Vancouver, BC V5N 0K1</t>
    </r>
  </si>
  <si>
    <r>
      <rPr>
        <b/>
        <sz val="9"/>
        <color theme="1"/>
        <rFont val="Calibri"/>
        <family val="2"/>
        <scheme val="minor"/>
      </rPr>
      <t>LINA (JOINT)</t>
    </r>
    <r>
      <rPr>
        <sz val="9"/>
        <color theme="1"/>
        <rFont val="Calibri"/>
        <family val="2"/>
        <scheme val="minor"/>
      </rPr>
      <t xml:space="preserve">
5212 Cambie Street
Vancouver, BC V5Z 0L6</t>
    </r>
  </si>
  <si>
    <r>
      <rPr>
        <b/>
        <sz val="9"/>
        <color theme="1"/>
        <rFont val="Calibri"/>
        <family val="2"/>
        <scheme val="minor"/>
      </rPr>
      <t xml:space="preserve">LINA 
(RESIDENTIAL SECTION)
</t>
    </r>
    <r>
      <rPr>
        <sz val="9"/>
        <color theme="1"/>
        <rFont val="Calibri"/>
        <family val="2"/>
        <scheme val="minor"/>
      </rPr>
      <t>5212 Cambie Street
Vancouver, BC V5Z 0L6</t>
    </r>
  </si>
  <si>
    <t>November/
December 2025</t>
  </si>
  <si>
    <t>EPS11606</t>
  </si>
  <si>
    <t>50 TH Units</t>
  </si>
  <si>
    <r>
      <rPr>
        <b/>
        <sz val="9"/>
        <color theme="1"/>
        <rFont val="Calibri"/>
        <family val="2"/>
        <scheme val="minor"/>
      </rPr>
      <t>KINSLEY</t>
    </r>
    <r>
      <rPr>
        <sz val="9"/>
        <color theme="1"/>
        <rFont val="Calibri"/>
        <family val="2"/>
        <scheme val="minor"/>
      </rPr>
      <t xml:space="preserve">
475 West 28th Avenue
Vancouver, BC
V5Y 0P2</t>
    </r>
  </si>
  <si>
    <t xml:space="preserve"> Pete Duchesne
pduchesne@allbrightservices.ca
604-802-7150
on call for after hour emergencies 
Josef Gue
josef.guo@allbrightservices.ca
604-219-5606 or 778-237-2825
4 hours a day Monday to Friday
after litter, the garbage, some cleaning and misc. regular duties.</t>
  </si>
  <si>
    <t xml:space="preserve">  Pete Duchesne
pduchesne@allbrightservices.ca
604-802-7150
on call for after hour emergencies 
Josef Gue
josef.guo@allbrightservices.ca
604-219-5606 or 778-237-2825
4 hours a day Monday to Friday
after litter, the garbage, some cleaning and misc. regular duties.</t>
  </si>
  <si>
    <t>5813
5813-1 – 11191 Horseshoe Way
5813-2 – 11171 Horseshoe Way
5183-3 – 11151 Horseshoe Way</t>
  </si>
  <si>
    <t>Concierge: Abdullah
604-329-3234
onepacificconcierge@rservice.ca
Building Managers:
Paul Marshall
604 790 7273
Paul.marshall@allbrightservices.ca</t>
  </si>
  <si>
    <t>Concierge: 
604-329-3234
thearc@rservice.ca
Building Managers:
Paul Marshall
604 790 7273
Paul.marshall@allbrightservices.ca</t>
  </si>
  <si>
    <r>
      <t xml:space="preserve">5290
</t>
    </r>
    <r>
      <rPr>
        <b/>
        <sz val="9"/>
        <color rgb="FFFF0000"/>
        <rFont val="Calibri"/>
        <family val="2"/>
        <scheme val="minor"/>
      </rPr>
      <t>NLM as of June 30, 2025</t>
    </r>
    <r>
      <rPr>
        <b/>
        <sz val="9"/>
        <rFont val="Calibri"/>
        <family val="2"/>
        <scheme val="minor"/>
      </rPr>
      <t xml:space="preserve">
</t>
    </r>
    <r>
      <rPr>
        <b/>
        <sz val="9"/>
        <color rgb="FFFF0000"/>
        <rFont val="Calibri"/>
        <family val="2"/>
        <scheme val="minor"/>
      </rPr>
      <t xml:space="preserve">The Fireplace Inns Ltd </t>
    </r>
  </si>
  <si>
    <r>
      <t xml:space="preserve">PICASSO GALLERIA CG COMMERCIAL OFFICE (ASP 3)
</t>
    </r>
    <r>
      <rPr>
        <sz val="9"/>
        <color rgb="FFFF0000"/>
        <rFont val="Calibri"/>
        <family val="2"/>
        <scheme val="minor"/>
      </rPr>
      <t xml:space="preserve">3388 No. Road, Richmond, BC, V6X 0X2 </t>
    </r>
  </si>
  <si>
    <t xml:space="preserve">Concierge
Sakib 
604-312-2470
westwoodconcierge@rservice.ca
Building Manager
Office: 604-220-5197
westwoodBM@rservice.ca
</t>
  </si>
  <si>
    <t>Building Manager
Joseph Ong 
778-887-1740 (do not give out)
signature.cedarcreek@rservice.ca (do not give out)</t>
  </si>
  <si>
    <t>Eduardo Monroy
604-802-2207
bm.eps6727@gmail.com</t>
  </si>
  <si>
    <r>
      <rPr>
        <b/>
        <sz val="9"/>
        <color theme="1"/>
        <rFont val="Calibri"/>
        <family val="2"/>
        <scheme val="minor"/>
      </rPr>
      <t xml:space="preserve">HIGHSTREET VILLAGE CONDOS
</t>
    </r>
    <r>
      <rPr>
        <sz val="9"/>
        <color theme="1"/>
        <rFont val="Calibri"/>
        <family val="2"/>
        <scheme val="minor"/>
      </rPr>
      <t xml:space="preserve">
30490 Cardinal Avenue, Abbotsford, BC V2T 0L9
30494 Cardinal Avenue, Abbotsford, BC V2T 0M1</t>
    </r>
  </si>
  <si>
    <r>
      <t xml:space="preserve">EPS5393 (2RPP ASP3)
</t>
    </r>
    <r>
      <rPr>
        <sz val="9"/>
        <color theme="1"/>
        <rFont val="Calibri"/>
        <family val="2"/>
        <scheme val="minor"/>
      </rPr>
      <t>6928 Pearson Way
Richmond, BC
V7C 0C9</t>
    </r>
  </si>
  <si>
    <r>
      <rPr>
        <b/>
        <sz val="9"/>
        <color theme="1"/>
        <rFont val="Calibri"/>
        <family val="2"/>
        <scheme val="minor"/>
      </rPr>
      <t>JACOB</t>
    </r>
    <r>
      <rPr>
        <sz val="9"/>
        <color theme="1"/>
        <rFont val="Calibri"/>
        <family val="2"/>
        <scheme val="minor"/>
      </rPr>
      <t xml:space="preserve">
33886 Pine Street
Abbotsford, B.C.
V2S 0N9</t>
    </r>
  </si>
  <si>
    <t>EPS11725</t>
  </si>
  <si>
    <t>Building Manager: Paul Marshall
Work Mobile: 604-790-7273
Email: Paul.marshall@allbrightservices.ca</t>
  </si>
  <si>
    <t>30-Jul-26
(Phases 1-3)</t>
  </si>
  <si>
    <r>
      <t xml:space="preserve">1790 152nd Street
</t>
    </r>
    <r>
      <rPr>
        <sz val="9"/>
        <color theme="1"/>
        <rFont val="Calibri"/>
        <family val="2"/>
        <scheme val="minor"/>
      </rPr>
      <t>Surrey, B.C. 
V4A 7Z7</t>
    </r>
  </si>
  <si>
    <t>6 Units, 2 tenants</t>
  </si>
  <si>
    <t>Commercial Rental</t>
  </si>
  <si>
    <r>
      <t xml:space="preserve">1750 152nd Street
</t>
    </r>
    <r>
      <rPr>
        <sz val="9"/>
        <color theme="1"/>
        <rFont val="Calibri"/>
        <family val="2"/>
        <scheme val="minor"/>
      </rPr>
      <t>Surrey, B.C. 
V4A 7Z7</t>
    </r>
  </si>
  <si>
    <t>2 Units, 2 tenants</t>
  </si>
  <si>
    <t>4 Units, 4 tenants</t>
  </si>
  <si>
    <t>1 Units, 1 tenants</t>
  </si>
  <si>
    <r>
      <t xml:space="preserve">46325 Yale Road
</t>
    </r>
    <r>
      <rPr>
        <sz val="9"/>
        <color theme="1"/>
        <rFont val="Calibri"/>
        <family val="2"/>
        <scheme val="minor"/>
      </rPr>
      <t>Chilliwack, B.C. 
V2P 2P8</t>
    </r>
  </si>
  <si>
    <r>
      <t xml:space="preserve">5698 Victoria Drive 
(or 2015 E 41st) 
</t>
    </r>
    <r>
      <rPr>
        <sz val="9"/>
        <color theme="1"/>
        <rFont val="Calibri"/>
        <family val="2"/>
        <scheme val="minor"/>
      </rPr>
      <t xml:space="preserve">Vancouver, B.C. </t>
    </r>
    <r>
      <rPr>
        <b/>
        <sz val="9"/>
        <color theme="1"/>
        <rFont val="Calibri"/>
        <family val="2"/>
        <scheme val="minor"/>
      </rPr>
      <t xml:space="preserve">
</t>
    </r>
    <r>
      <rPr>
        <sz val="9"/>
        <color theme="1"/>
        <rFont val="Calibri"/>
        <family val="2"/>
        <scheme val="minor"/>
      </rPr>
      <t>V5P 2W4</t>
    </r>
  </si>
  <si>
    <t>8 Units, 8 tenants</t>
  </si>
  <si>
    <r>
      <t xml:space="preserve">1941 Commercial Drive
</t>
    </r>
    <r>
      <rPr>
        <sz val="9"/>
        <color theme="1"/>
        <rFont val="Calibri"/>
        <family val="2"/>
        <scheme val="minor"/>
      </rPr>
      <t xml:space="preserve">Vancouver, B.C. </t>
    </r>
    <r>
      <rPr>
        <b/>
        <sz val="9"/>
        <color theme="1"/>
        <rFont val="Calibri"/>
        <family val="2"/>
        <scheme val="minor"/>
      </rPr>
      <t xml:space="preserve">
</t>
    </r>
    <r>
      <rPr>
        <sz val="9"/>
        <color theme="1"/>
        <rFont val="Calibri"/>
        <family val="2"/>
        <scheme val="minor"/>
      </rPr>
      <t>V5N 4A8</t>
    </r>
  </si>
  <si>
    <t>3 Units, 1 tenant</t>
  </si>
  <si>
    <r>
      <t xml:space="preserve">295 Main Street
</t>
    </r>
    <r>
      <rPr>
        <sz val="9"/>
        <color theme="1"/>
        <rFont val="Calibri"/>
        <family val="2"/>
        <scheme val="minor"/>
      </rPr>
      <t xml:space="preserve"> Penticton, B.C. </t>
    </r>
    <r>
      <rPr>
        <b/>
        <sz val="9"/>
        <color theme="1"/>
        <rFont val="Calibri"/>
        <family val="2"/>
        <scheme val="minor"/>
      </rPr>
      <t xml:space="preserve">
</t>
    </r>
    <r>
      <rPr>
        <sz val="9"/>
        <color theme="1"/>
        <rFont val="Calibri"/>
        <family val="2"/>
        <scheme val="minor"/>
      </rPr>
      <t>V2A 5B1</t>
    </r>
  </si>
  <si>
    <t>Jaenelle Busch
jaenellebusch@gmail.com</t>
  </si>
  <si>
    <r>
      <t xml:space="preserve">5581
</t>
    </r>
    <r>
      <rPr>
        <b/>
        <sz val="9"/>
        <color rgb="FFFF0000"/>
        <rFont val="Calibri"/>
        <family val="2"/>
        <scheme val="minor"/>
      </rPr>
      <t>NLM as of July 31, 2025</t>
    </r>
    <r>
      <rPr>
        <b/>
        <sz val="9"/>
        <color theme="1"/>
        <rFont val="Calibri"/>
        <family val="2"/>
        <scheme val="minor"/>
      </rPr>
      <t xml:space="preserve">
</t>
    </r>
    <r>
      <rPr>
        <b/>
        <sz val="9"/>
        <color rgb="FFFF0000"/>
        <rFont val="Calibri"/>
        <family val="2"/>
        <scheme val="minor"/>
      </rPr>
      <t>Fort Park Real Estate</t>
    </r>
  </si>
  <si>
    <t xml:space="preserve">NORMAC
Year 2 of 3
</t>
  </si>
  <si>
    <t xml:space="preserve">NORMAC
Year 2 of 3
 </t>
  </si>
  <si>
    <r>
      <t xml:space="preserve">5763
</t>
    </r>
    <r>
      <rPr>
        <b/>
        <sz val="9"/>
        <color rgb="FFFF0000"/>
        <rFont val="Calibri"/>
        <family val="2"/>
        <scheme val="minor"/>
      </rPr>
      <t xml:space="preserve">NLM as of July 31, 2025
Fort Park Real Estate </t>
    </r>
  </si>
  <si>
    <r>
      <rPr>
        <b/>
        <sz val="9"/>
        <color theme="1"/>
        <rFont val="Calibri"/>
        <family val="2"/>
        <scheme val="minor"/>
      </rPr>
      <t>SKAHA LAKE TOWERS</t>
    </r>
    <r>
      <rPr>
        <sz val="9"/>
        <color theme="1"/>
        <rFont val="Calibri"/>
        <family val="2"/>
        <scheme val="minor"/>
      </rPr>
      <t xml:space="preserve">
Phase 1 - 3388 Skaha Lake Road, Penticton BC, V2A 6G4
Phase 2 - 3346 Skaha Lake Road, Penticton BC, V2A 0H6
Phase 3 - 3362 Skaha Lake Road, Penticton BC, V2A 0J4
</t>
    </r>
  </si>
  <si>
    <t>EPS4170</t>
  </si>
  <si>
    <t xml:space="preserve">Phase 1 - 75 Units
Phase 2 - 91 Units
Phase 3 - 98 Units
TOTAL - 264 Units </t>
  </si>
  <si>
    <t xml:space="preserve">Paul Marshall
604 790 7273 (do not give out)
Paul.marshall@allbrightservices.ca </t>
  </si>
  <si>
    <r>
      <rPr>
        <b/>
        <sz val="9"/>
        <color theme="1"/>
        <rFont val="Calibri"/>
        <family val="2"/>
        <scheme val="minor"/>
      </rPr>
      <t>SKYVIEW</t>
    </r>
    <r>
      <rPr>
        <sz val="9"/>
        <color theme="1"/>
        <rFont val="Calibri"/>
        <family val="2"/>
        <scheme val="minor"/>
      </rPr>
      <t xml:space="preserve">
7381 Preston Blvd, Mission, B.C.
V2V 0M1</t>
    </r>
  </si>
  <si>
    <t>EPS11766</t>
  </si>
  <si>
    <t>Normal, Phased</t>
  </si>
  <si>
    <t>Stuart Tucker 
scottandnicholsonbm@rservice.ca
778-957-2967</t>
  </si>
  <si>
    <t>CITY</t>
  </si>
  <si>
    <t>Richmond, BC</t>
  </si>
  <si>
    <t>Burnaby, BC</t>
  </si>
  <si>
    <t>Vancouver, BC</t>
  </si>
  <si>
    <t>Abbotsford, BC</t>
  </si>
  <si>
    <t>Westminster, BC</t>
  </si>
  <si>
    <t>Coquitlam, BC</t>
  </si>
  <si>
    <t>Surrey, BC</t>
  </si>
  <si>
    <t>Langley, BC</t>
  </si>
  <si>
    <t>Chilliwack, BC</t>
  </si>
  <si>
    <t>Penticton, BC</t>
  </si>
  <si>
    <t>Vancouver BC</t>
  </si>
  <si>
    <t>Vanocuver, BC</t>
  </si>
  <si>
    <t>Whistler, BC</t>
  </si>
  <si>
    <t xml:space="preserve">Surrey, BC </t>
  </si>
  <si>
    <t xml:space="preserve">Vancouver, BC </t>
  </si>
  <si>
    <t xml:space="preserve">Burnaby, BC </t>
  </si>
  <si>
    <t>Delta, BC</t>
  </si>
  <si>
    <t>Tsawwassen, BC</t>
  </si>
  <si>
    <t>Mission, BC</t>
  </si>
  <si>
    <t>RICHMOND, BC</t>
  </si>
  <si>
    <t>Kelowna, BC</t>
  </si>
  <si>
    <t>New Westminster, BC</t>
  </si>
  <si>
    <r>
      <t xml:space="preserve">THE BRITTANY JOINT
</t>
    </r>
    <r>
      <rPr>
        <sz val="9"/>
        <rFont val="Calibri"/>
        <family val="2"/>
      </rPr>
      <t xml:space="preserve">7088 Mont Royal Square V5S 4X7
7002-7050 Mont Royal Square V5S 4X5
3252-3292 E 54th Ave V5S 0A1
3298 E 54th Ave V5S 0A1
Vancouver, BC
</t>
    </r>
  </si>
  <si>
    <t>Richmond, B.C.</t>
  </si>
  <si>
    <t>Vancouver, B.C.</t>
  </si>
  <si>
    <t>Port Moody, BC</t>
  </si>
  <si>
    <t>Maple Ridge, BC</t>
  </si>
  <si>
    <t xml:space="preserve"> Richmond, BC</t>
  </si>
  <si>
    <t>West Vancouver, BC</t>
  </si>
  <si>
    <t xml:space="preserve">North Vancouver, BC </t>
  </si>
  <si>
    <t xml:space="preserve">Richmond, BC </t>
  </si>
  <si>
    <r>
      <t xml:space="preserve">HAWTHORNE
</t>
    </r>
    <r>
      <rPr>
        <sz val="9"/>
        <color theme="1"/>
        <rFont val="Calibri"/>
        <family val="2"/>
        <scheme val="minor"/>
      </rPr>
      <t xml:space="preserve">4988 Cambie Street 
Vancouver, BC
V5Z 2Z5 </t>
    </r>
  </si>
  <si>
    <t>North Vancouver, BC</t>
  </si>
  <si>
    <r>
      <t xml:space="preserve">KATSURA &amp; SEQUOIA AT HAMPTONS PARK
</t>
    </r>
    <r>
      <rPr>
        <sz val="9"/>
        <color theme="1"/>
        <rFont val="Calibri"/>
        <family val="2"/>
        <scheme val="minor"/>
      </rPr>
      <t>9133 Hemlock Drive - V6Y 4J9
6233 Katsura Street - V6Y 4K1
Richmond</t>
    </r>
    <r>
      <rPr>
        <b/>
        <sz val="9"/>
        <color theme="1"/>
        <rFont val="Calibri"/>
        <family val="2"/>
        <scheme val="minor"/>
      </rPr>
      <t xml:space="preserve">, </t>
    </r>
    <r>
      <rPr>
        <sz val="9"/>
        <color theme="1"/>
        <rFont val="Calibri"/>
        <family val="2"/>
        <scheme val="minor"/>
      </rPr>
      <t>BC</t>
    </r>
  </si>
  <si>
    <t>White Rock, BC</t>
  </si>
  <si>
    <r>
      <rPr>
        <b/>
        <sz val="9"/>
        <rFont val="Calibri"/>
        <family val="2"/>
        <scheme val="minor"/>
      </rPr>
      <t>THE FALLS</t>
    </r>
    <r>
      <rPr>
        <sz val="9"/>
        <rFont val="Calibri"/>
        <family val="2"/>
        <scheme val="minor"/>
      </rPr>
      <t xml:space="preserve">
24951 112 Ave
Maple Ridge, BC
V2W 0L1</t>
    </r>
  </si>
  <si>
    <r>
      <rPr>
        <b/>
        <sz val="9"/>
        <rFont val="Calibri"/>
        <family val="2"/>
        <scheme val="minor"/>
      </rPr>
      <t>CHELSEA AT THE BOROUGHS</t>
    </r>
    <r>
      <rPr>
        <sz val="9"/>
        <rFont val="Calibri"/>
        <family val="2"/>
        <scheme val="minor"/>
      </rPr>
      <t xml:space="preserve">
16325 21 Avenue, Surrey, BC (Phases 1-3)
16355 21 Avenue, Surrey, BC (Phases 4-6)</t>
    </r>
  </si>
  <si>
    <t>Richmond,  BC</t>
  </si>
  <si>
    <r>
      <rPr>
        <b/>
        <sz val="9"/>
        <color theme="1"/>
        <rFont val="Calibri"/>
        <family val="2"/>
        <scheme val="minor"/>
      </rPr>
      <t>WEST COAST ESTATES CONDOS</t>
    </r>
    <r>
      <rPr>
        <sz val="9"/>
        <color theme="1"/>
        <rFont val="Calibri"/>
        <family val="2"/>
        <scheme val="minor"/>
      </rPr>
      <t xml:space="preserve">
1930 Starling Drive, Tsawwassen, BC
1942 Starling Drive, Tsawwassen, BC</t>
    </r>
  </si>
  <si>
    <r>
      <t xml:space="preserve">THE TRAILS
</t>
    </r>
    <r>
      <rPr>
        <sz val="9"/>
        <color theme="1"/>
        <rFont val="Calibri"/>
        <family val="2"/>
        <scheme val="minor"/>
      </rPr>
      <t xml:space="preserve">505, 515, 525 East 2nd Street
North Vancouver, BC
V7L 1E1
</t>
    </r>
  </si>
  <si>
    <t>Avenue
North Vancouver</t>
  </si>
  <si>
    <t>Burnaby, B.C.</t>
  </si>
  <si>
    <t>Abbotsford, B.C.</t>
  </si>
  <si>
    <t>Surrey, B.C</t>
  </si>
  <si>
    <t>Street
Langley, BC</t>
  </si>
  <si>
    <t>Pitt Meadows, BC</t>
  </si>
  <si>
    <t>Avenue
Vancouver, BC</t>
  </si>
  <si>
    <t>Delta, B.C</t>
  </si>
  <si>
    <t>Maple Ridge, B.C</t>
  </si>
  <si>
    <t>Parkway
North Vancouver, BC</t>
  </si>
  <si>
    <t>Vancouver, B.C</t>
  </si>
  <si>
    <t>Langley, B.C</t>
  </si>
  <si>
    <t>Maple Ridge BC</t>
  </si>
  <si>
    <t xml:space="preserve"> 
 Vancouver, BC</t>
  </si>
  <si>
    <t>North Vancouver, B.C.</t>
  </si>
  <si>
    <t xml:space="preserve">
Burnaby, BC</t>
  </si>
  <si>
    <t>North Vancouver, B.C</t>
  </si>
  <si>
    <t>Vancouver B.C.</t>
  </si>
  <si>
    <t>Maple Ridge, B.C.</t>
  </si>
  <si>
    <t xml:space="preserve">Abbotsford, B.C. </t>
  </si>
  <si>
    <t>Coquitlam, B.C.</t>
  </si>
  <si>
    <t xml:space="preserve">Maple Ridge, B.C. </t>
  </si>
  <si>
    <t xml:space="preserve">Vancouver, BC
</t>
  </si>
  <si>
    <t xml:space="preserve">West Vancouver, BC
</t>
  </si>
  <si>
    <t>Remi</t>
  </si>
  <si>
    <t>Concierge
Tel: 604-433-0137
Fax: 604-434-2584
met2concierge@rservice.ca
(8am-midnight)
Building Manager
Bldg Super: Steven Lee
(604) 910-7074
steven.lee@allbrightservices.ca</t>
  </si>
  <si>
    <t>WATER STREET BY THE PARK - CLUB</t>
  </si>
  <si>
    <r>
      <rPr>
        <b/>
        <sz val="9"/>
        <color rgb="FFFF0000"/>
        <rFont val="Calibri"/>
        <family val="2"/>
      </rPr>
      <t>CRESTMARK</t>
    </r>
    <r>
      <rPr>
        <sz val="9"/>
        <color rgb="FFFF0000"/>
        <rFont val="Calibri"/>
        <family val="2"/>
      </rPr>
      <t xml:space="preserve">
1228-1288 Marinaside Crescent
Vancouver, BC
V6Z 2W4
V6Z 2W5
</t>
    </r>
  </si>
  <si>
    <t>Concierge: 604-812-7638
Email: thecrestmark@novuscom.net
crestmark.concierge@rservice.ca
Building Supervisor: Horst Laxton - 604-790-1604
Email: 
CrestmarkBM@Rservice.ca
Hours: Monday to Thursday, 8:30 am-4:30 pm</t>
  </si>
  <si>
    <r>
      <t xml:space="preserve">EAST RIDGE
</t>
    </r>
    <r>
      <rPr>
        <sz val="9"/>
        <color theme="1"/>
        <rFont val="Calibri"/>
        <family val="2"/>
        <scheme val="minor"/>
      </rPr>
      <t>3025 McMillan Road
Abbotsford, B.C.
V3G 1H3</t>
    </r>
  </si>
  <si>
    <t>EPS11610</t>
  </si>
  <si>
    <r>
      <rPr>
        <sz val="9"/>
        <color theme="1"/>
        <rFont val="Calibri"/>
        <family val="2"/>
        <scheme val="minor"/>
      </rPr>
      <t>Phase One – 52 Units
Phase Two – 46 Units
Phase Three – 46 Units
Phase Four – 47 Units
TOTAL – 191 Units</t>
    </r>
    <r>
      <rPr>
        <b/>
        <sz val="9"/>
        <color theme="1"/>
        <rFont val="Calibri"/>
        <family val="2"/>
        <scheme val="minor"/>
      </rPr>
      <t xml:space="preserve"> </t>
    </r>
  </si>
  <si>
    <t>Saturday, November 8, 2025</t>
  </si>
  <si>
    <t>Building Staff
Amanpreet Kaur
 buildingmanager4@kellyboy.ca</t>
  </si>
  <si>
    <t>Saturday, October 11, 2025</t>
  </si>
  <si>
    <t>BCS2301</t>
  </si>
  <si>
    <r>
      <rPr>
        <b/>
        <sz val="9"/>
        <color theme="1"/>
        <rFont val="Calibri"/>
        <family val="2"/>
        <scheme val="minor"/>
      </rPr>
      <t>BCS2301</t>
    </r>
    <r>
      <rPr>
        <sz val="9"/>
        <color theme="1"/>
        <rFont val="Calibri"/>
        <family val="2"/>
        <scheme val="minor"/>
      </rPr>
      <t xml:space="preserve">
4204 – 4206 Hastings Street
Burnaby, B.C. 
V5C 2J6</t>
    </r>
  </si>
  <si>
    <t xml:space="preserve">HB
</t>
  </si>
  <si>
    <t>Mondya, 12/1/2025</t>
  </si>
  <si>
    <t>62 Residential Units
29 Commercial Units
TOTAL - 91 units</t>
  </si>
  <si>
    <t>Sunday, 11/30/2025</t>
  </si>
  <si>
    <t>Friday, November 28, 2025</t>
  </si>
  <si>
    <t>Thursday, November 20, 2025</t>
  </si>
  <si>
    <t>NORMAC 
Year 2 of 3</t>
  </si>
  <si>
    <t>Thursday, 11/20/2025</t>
  </si>
  <si>
    <t>Saturday, 11/1/2025</t>
  </si>
  <si>
    <t>Friday, 11/7/2025</t>
  </si>
  <si>
    <t>Monday, 11/3/2025</t>
  </si>
  <si>
    <t>5-Sep-26
(Phase 1-6 (Strata Lots 1-87 &amp; 93-105))</t>
  </si>
  <si>
    <t>Sunday November 30, 2025</t>
  </si>
  <si>
    <t>Monday, November 10, 2025</t>
  </si>
  <si>
    <t xml:space="preserve">Building Supervisor: Eugene
Phone:  604-209-0225  
Email:Easton@rservice.ca
Every Thursday from 9:30 a.m. to 1:30 p.m.
</t>
  </si>
  <si>
    <t>Sunday, November 30, 2025</t>
  </si>
  <si>
    <t>Concierge:
604-790-9283
parkgeorgeconcierge@rservice.ca
Building Manager:
Carlos Escoto
778-874-4377
parkgeorgebm@rservice.ca</t>
  </si>
  <si>
    <t>Building Manager: John Huang
Tuesday to Saturday (9 a.m. to 5 p.m.)
Telephone: 604-612-5605
Email: alexandracourtmanager@gmail.com (BMs share one email address)</t>
  </si>
  <si>
    <r>
      <rPr>
        <b/>
        <sz val="9"/>
        <rFont val="Calibri"/>
        <family val="2"/>
        <scheme val="minor"/>
      </rPr>
      <t>THE NEWMARK (Joint/Strata Corporation)</t>
    </r>
    <r>
      <rPr>
        <sz val="9"/>
        <rFont val="Calibri"/>
        <family val="2"/>
        <scheme val="minor"/>
      </rPr>
      <t xml:space="preserve">
4888 Hazel Street
5885 Kingsway Avenue
Burnaby, BC
V5H 4T4</t>
    </r>
  </si>
  <si>
    <t>Concierge
Susan
604-682-3918
cell (private): 604-830-1979
cooperslookoutconcierge@rservice.ca
Building Manager
 Mahamadou Diallo 
coopersbm@rservice.ca
778-554-3890
Monday – Friday
8:00am – 12:00pm</t>
  </si>
  <si>
    <t>Building Manager
Warunika Perera 
778-833-1311  (do not give out)
cambie.gardensbm@rservice.ca (do not give out)
Concierge
Tetiana Ovsiienko (lead concierge)
cambie.gardens@rservice.ca
778-875-5705</t>
  </si>
  <si>
    <t>Benne Gapo 
604-700-9567
newmark@linis.ca 
Monday to Thursdays only, except Statutory holidays
 (from 9:30 a.m to 1:30 p.m.)</t>
  </si>
  <si>
    <t>B-M Aman : Buildingmanager4@kellyboy.ca
Contact: 236-999-2243</t>
  </si>
  <si>
    <t>Wednesday, February 26, 2025</t>
  </si>
  <si>
    <t xml:space="preserve">
604-341-2385 
charlesonconcierge@rservice.ca</t>
  </si>
  <si>
    <t>Concierge  jinjuconcierge@rservice.ca
604-230-2956
BM John jinjumanager@rservice.ca 
604-202-8436</t>
  </si>
  <si>
    <r>
      <t xml:space="preserve">Building Manager: Soviyat Banjade 
Phone: 604-809-2419
parkwestBM@rservice.ca
Concierge: Alain
604-408-2731 
Fax: 604-488-1164
</t>
    </r>
    <r>
      <rPr>
        <sz val="9"/>
        <color indexed="60"/>
        <rFont val="Calibri"/>
        <family val="2"/>
      </rPr>
      <t>email: parkwestconcierge@rservice.ca</t>
    </r>
  </si>
  <si>
    <t>Eleanor Scarth from Council
778-772-3338  (do not give out)
604-925-8445  (do not give out)
William Harvey (Bill) from Council 
604-925-9677 (do not give out)</t>
  </si>
  <si>
    <t>Building Manager:
Emile 
Phone: 604-329-4889 
Email: KC2BM@rservice.ca 
Concierge: Muskan
604-780-7181 (do not give out)
concierge@kingscrossing2.com</t>
  </si>
  <si>
    <t>99 TH Units
Phase 1 - 15
Phase 2 - 18
Phase 3 - 20
Phase 4 - 17
Phase 5 -15
Phase 6 - 14</t>
  </si>
  <si>
    <t>CKS/CS
(Christie)</t>
  </si>
  <si>
    <t>CKS/CS  
(Christie)</t>
  </si>
  <si>
    <t>INTACT</t>
  </si>
  <si>
    <t xml:space="preserve">ASP Remainder </t>
  </si>
  <si>
    <t>WATER STREET BY THE PARK - REMAINDER</t>
  </si>
  <si>
    <t>NORMAC
Year 1  of 3</t>
  </si>
  <si>
    <t>Wednesday, Dec 17, 2025</t>
  </si>
  <si>
    <r>
      <rPr>
        <b/>
        <sz val="9"/>
        <rFont val="Calibri"/>
        <family val="2"/>
        <scheme val="minor"/>
      </rPr>
      <t xml:space="preserve">FIRST AVENUE MEWS
</t>
    </r>
    <r>
      <rPr>
        <sz val="9"/>
        <rFont val="Calibri"/>
        <family val="2"/>
        <scheme val="minor"/>
      </rPr>
      <t>2435 West 1st Avenue
2437 West 1st Avenue 
Vancouver, BC V6K 1H2</t>
    </r>
  </si>
  <si>
    <t xml:space="preserve">VALEO RENTAL
Building A
Retail - 4762 Hastings St., Burnaby 
Grocery - 4790 Hastings St., Burnaby
Building B 
Office – 4756 Hasting St., Burnaby
Retail - 4718, 4728, and 4734 Hastings St. Burnaby
</t>
  </si>
  <si>
    <t>Wednesday, December 10, 2025</t>
  </si>
  <si>
    <t>EPS11556</t>
  </si>
  <si>
    <t>247 Units</t>
  </si>
  <si>
    <t xml:space="preserve">Residential ASP </t>
  </si>
  <si>
    <t>Tuesday, November 11, 2025</t>
  </si>
  <si>
    <t xml:space="preserve"> Building Manager:
Norman Wong
CambridgePark@rservice.ca
(604) 789-7960 (okay to give out) </t>
  </si>
  <si>
    <t xml:space="preserve">$200 Damage Deposit
$100 - elevator key deposit </t>
  </si>
  <si>
    <t>NORMAC 
Year 3 of 3</t>
  </si>
  <si>
    <t>500
This covers both move in and out</t>
  </si>
  <si>
    <t>Yes 
(not in use)</t>
  </si>
  <si>
    <t>No building staff,
Managed by the council members
(TH complex)</t>
  </si>
  <si>
    <t>Building Caretaker 
Reza
9am to 5pm
kingsmen121@yahoo.com (DO NOT GIVE) 
604-200-4200 (DO NOT GIVE)</t>
  </si>
  <si>
    <t>Building Manager
Mars Shi
seasons@rservice.ca 
604-999-5709
Monday to Friday – 8:00am to 4:00pm
Imperial Security
Seasons.Richmond@gmail.com 
604-999-5709 (8am-4pm: Monday to Friday)
Saturday to Sunday: 24-Hour Coverage
1-877-221-2333 (After Hours)</t>
  </si>
  <si>
    <t>TBD</t>
  </si>
  <si>
    <t>yes</t>
  </si>
  <si>
    <t>Wednesday, September 24, 2025</t>
  </si>
  <si>
    <t>Wednesday, December 31, 2025</t>
  </si>
  <si>
    <t>Monday, September 29, 2025 
(Phase 1-2)</t>
  </si>
  <si>
    <t xml:space="preserve">Building Manager:
Steven Chiu
ThePark@rservice.ca
604-992-8389
236-513-3064 (do not share)
If you cannot contact Steven then contact:
Stanley Chen – 604-762-7688 (do not share)
</t>
  </si>
  <si>
    <t>Concierge:
bordeaux@rservice.ca
604-319-1225
Building Supervisor: 
Hayson Muyco 
Phone Number: 672-963--3384
(Mon-Fri 12:45 p.m. – 4:45 p.m. only)
Cell: 236-996-5909 (do not give out)
bordeauxbm@rservice.ca (do not give out)</t>
  </si>
  <si>
    <r>
      <t xml:space="preserve">VALEO – JOINT
Building A
RESIDENTIAL 
</t>
    </r>
    <r>
      <rPr>
        <sz val="9"/>
        <color theme="1"/>
        <rFont val="Calibri"/>
        <family val="2"/>
        <scheme val="minor"/>
      </rPr>
      <t>4788 Hastings St. 
Burnaby, BC 
V5C 0P3
(Units 201-215, 301-319, 401-419, 501-509)</t>
    </r>
    <r>
      <rPr>
        <b/>
        <sz val="9"/>
        <color theme="1"/>
        <rFont val="Calibri"/>
        <family val="2"/>
        <scheme val="minor"/>
      </rPr>
      <t xml:space="preserve">
Building A
COMMERCIAL
Grocery -</t>
    </r>
    <r>
      <rPr>
        <sz val="9"/>
        <color theme="1"/>
        <rFont val="Calibri"/>
        <family val="2"/>
        <scheme val="minor"/>
      </rPr>
      <t xml:space="preserve"> 4762 Hastings St.
Burnaby, BC
V5C 0P4 </t>
    </r>
    <r>
      <rPr>
        <b/>
        <sz val="9"/>
        <color theme="1"/>
        <rFont val="Calibri"/>
        <family val="2"/>
        <scheme val="minor"/>
      </rPr>
      <t xml:space="preserve">
Retail 1</t>
    </r>
    <r>
      <rPr>
        <sz val="9"/>
        <color theme="1"/>
        <rFont val="Calibri"/>
        <family val="2"/>
        <scheme val="minor"/>
      </rPr>
      <t xml:space="preserve"> - 4790 Hastings St.
Burnaby, BC
V5C 0P4 </t>
    </r>
    <r>
      <rPr>
        <b/>
        <sz val="9"/>
        <color theme="1"/>
        <rFont val="Calibri"/>
        <family val="2"/>
        <scheme val="minor"/>
      </rPr>
      <t xml:space="preserve">
Building B 
Office
</t>
    </r>
    <r>
      <rPr>
        <sz val="9"/>
        <color theme="1"/>
        <rFont val="Calibri"/>
        <family val="2"/>
        <scheme val="minor"/>
      </rPr>
      <t xml:space="preserve"> 4756 Hasting St., 
Burnaby, BC
V5C 0P4
(Units 201-208, 301-308, 401-408)
</t>
    </r>
    <r>
      <rPr>
        <b/>
        <sz val="9"/>
        <color theme="1"/>
        <rFont val="Calibri"/>
        <family val="2"/>
        <scheme val="minor"/>
      </rPr>
      <t xml:space="preserve">
Retail 2 (CRU 1) – </t>
    </r>
    <r>
      <rPr>
        <sz val="9"/>
        <color theme="1"/>
        <rFont val="Calibri"/>
        <family val="2"/>
        <scheme val="minor"/>
      </rPr>
      <t xml:space="preserve">4718 Hastings St. Burnaby, BC
V5C 0P4
</t>
    </r>
    <r>
      <rPr>
        <b/>
        <sz val="9"/>
        <color theme="1"/>
        <rFont val="Calibri"/>
        <family val="2"/>
        <scheme val="minor"/>
      </rPr>
      <t xml:space="preserve">
Retail 2 (CRU 2) – </t>
    </r>
    <r>
      <rPr>
        <sz val="9"/>
        <color theme="1"/>
        <rFont val="Calibri"/>
        <family val="2"/>
        <scheme val="minor"/>
      </rPr>
      <t xml:space="preserve">4728 Hastings St. Burnaby, BC
V5C 0P4
</t>
    </r>
    <r>
      <rPr>
        <b/>
        <sz val="9"/>
        <color theme="1"/>
        <rFont val="Calibri"/>
        <family val="2"/>
        <scheme val="minor"/>
      </rPr>
      <t xml:space="preserve">
Retail 2 (CRU 3) – </t>
    </r>
    <r>
      <rPr>
        <sz val="9"/>
        <color theme="1"/>
        <rFont val="Calibri"/>
        <family val="2"/>
        <scheme val="minor"/>
      </rPr>
      <t xml:space="preserve">4734 Hastings St. Burnaby, BC
V5C 0P4
</t>
    </r>
  </si>
  <si>
    <r>
      <rPr>
        <b/>
        <sz val="9"/>
        <color theme="1"/>
        <rFont val="Calibri"/>
        <family val="2"/>
        <scheme val="minor"/>
      </rPr>
      <t>VALEO – RESIDENTIAL SECTION</t>
    </r>
    <r>
      <rPr>
        <sz val="9"/>
        <color theme="1"/>
        <rFont val="Calibri"/>
        <family val="2"/>
        <scheme val="minor"/>
      </rPr>
      <t xml:space="preserve">
4788 Hastings St. 
Burnaby, BC 
V5C 0P3
(Units 201-215, 301-319, 401-419, 501-509)</t>
    </r>
  </si>
  <si>
    <r>
      <rPr>
        <b/>
        <sz val="9"/>
        <color theme="1"/>
        <rFont val="Calibri"/>
        <family val="2"/>
        <scheme val="minor"/>
      </rPr>
      <t>VALEO - COMMERCIAL SECTION</t>
    </r>
    <r>
      <rPr>
        <sz val="9"/>
        <color theme="1"/>
        <rFont val="Calibri"/>
        <family val="2"/>
        <scheme val="minor"/>
      </rPr>
      <t xml:space="preserve">
</t>
    </r>
    <r>
      <rPr>
        <b/>
        <sz val="9"/>
        <color theme="1"/>
        <rFont val="Calibri"/>
        <family val="2"/>
        <scheme val="minor"/>
      </rPr>
      <t xml:space="preserve">Building B 
Office 
</t>
    </r>
    <r>
      <rPr>
        <sz val="9"/>
        <color theme="1"/>
        <rFont val="Calibri"/>
        <family val="2"/>
        <scheme val="minor"/>
      </rPr>
      <t xml:space="preserve">4756 Hasting St., 
Burnaby, BC
V5C 0P4
(Units 201-208, 301-308, 401-408)
</t>
    </r>
    <r>
      <rPr>
        <b/>
        <sz val="9"/>
        <color theme="1"/>
        <rFont val="Calibri"/>
        <family val="2"/>
        <scheme val="minor"/>
      </rPr>
      <t xml:space="preserve">
Retail 2 (CRU 1)</t>
    </r>
    <r>
      <rPr>
        <sz val="9"/>
        <color theme="1"/>
        <rFont val="Calibri"/>
        <family val="2"/>
        <scheme val="minor"/>
      </rPr>
      <t xml:space="preserve"> – 4718 Hastings St. Burnaby, BC
V5C 0P4
</t>
    </r>
    <r>
      <rPr>
        <b/>
        <sz val="9"/>
        <color theme="1"/>
        <rFont val="Calibri"/>
        <family val="2"/>
        <scheme val="minor"/>
      </rPr>
      <t xml:space="preserve">Retail 2 (CRU 2) </t>
    </r>
    <r>
      <rPr>
        <sz val="9"/>
        <color theme="1"/>
        <rFont val="Calibri"/>
        <family val="2"/>
        <scheme val="minor"/>
      </rPr>
      <t xml:space="preserve">– 4728 Hastings St. Burnaby, BC
V5C 0P4
</t>
    </r>
    <r>
      <rPr>
        <b/>
        <sz val="9"/>
        <color theme="1"/>
        <rFont val="Calibri"/>
        <family val="2"/>
        <scheme val="minor"/>
      </rPr>
      <t xml:space="preserve">Retail 2 (CRU 3) </t>
    </r>
    <r>
      <rPr>
        <sz val="9"/>
        <color theme="1"/>
        <rFont val="Calibri"/>
        <family val="2"/>
        <scheme val="minor"/>
      </rPr>
      <t>– 4734 Hastings St. Burnaby, BC
V5C 0P4</t>
    </r>
  </si>
  <si>
    <t xml:space="preserve">29 Commercial Units
</t>
  </si>
  <si>
    <t>62 Residential Units</t>
  </si>
  <si>
    <t>Monday, December 15, 2025</t>
  </si>
  <si>
    <r>
      <rPr>
        <b/>
        <sz val="9"/>
        <color theme="1"/>
        <rFont val="Calibri"/>
        <family val="2"/>
        <scheme val="minor"/>
      </rPr>
      <t>TERRACES ON 7TH - JOINT</t>
    </r>
    <r>
      <rPr>
        <sz val="9"/>
        <color theme="1"/>
        <rFont val="Calibri"/>
        <family val="2"/>
        <scheme val="minor"/>
      </rPr>
      <t xml:space="preserve">
1530, 1550, 1570, 1590
West 7th Avenue
Vancouver, B.C.</t>
    </r>
  </si>
  <si>
    <t>LMS4708</t>
  </si>
  <si>
    <t>20 Residential Units
3 Commercial Units
TOTAL – 23 UNITS</t>
  </si>
  <si>
    <t>Terry Li (Senior PM)
Angela Matheson 
(Junior PM)</t>
  </si>
  <si>
    <t xml:space="preserve">Sectioned Strata </t>
  </si>
  <si>
    <r>
      <rPr>
        <b/>
        <sz val="9"/>
        <color theme="1"/>
        <rFont val="Calibri"/>
        <family val="2"/>
        <scheme val="minor"/>
      </rPr>
      <t>TERRACES ON 7TH - COMMERCIAL SECTION A</t>
    </r>
    <r>
      <rPr>
        <sz val="9"/>
        <color theme="1"/>
        <rFont val="Calibri"/>
        <family val="2"/>
        <scheme val="minor"/>
      </rPr>
      <t xml:space="preserve">
1570 West 7th Avenue
Vancouver, B.C.
V6J 5M1</t>
    </r>
  </si>
  <si>
    <t>1 Commercial Unit</t>
  </si>
  <si>
    <r>
      <rPr>
        <b/>
        <sz val="9"/>
        <color theme="1"/>
        <rFont val="Calibri"/>
        <family val="2"/>
        <scheme val="minor"/>
      </rPr>
      <t>TERRACES ON 7TH - COMMERCIAL SECTION B</t>
    </r>
    <r>
      <rPr>
        <sz val="9"/>
        <color theme="1"/>
        <rFont val="Calibri"/>
        <family val="2"/>
        <scheme val="minor"/>
      </rPr>
      <t xml:space="preserve">
1530 West 7th Avenue
Vancouver, B.C.
V6J 1S3</t>
    </r>
  </si>
  <si>
    <r>
      <rPr>
        <b/>
        <sz val="9"/>
        <color theme="1"/>
        <rFont val="Calibri"/>
        <family val="2"/>
        <scheme val="minor"/>
      </rPr>
      <t>TERRACES ON 7TH - COMMERCIAL SECTION C</t>
    </r>
    <r>
      <rPr>
        <sz val="9"/>
        <color theme="1"/>
        <rFont val="Calibri"/>
        <family val="2"/>
        <scheme val="minor"/>
      </rPr>
      <t xml:space="preserve">
1550 West 7th Avenue
Vancouver, B.C.
V6J 1S2</t>
    </r>
  </si>
  <si>
    <r>
      <rPr>
        <b/>
        <sz val="9"/>
        <color theme="1"/>
        <rFont val="Calibri"/>
        <family val="2"/>
        <scheme val="minor"/>
      </rPr>
      <t>TERRACES ON 7TH - RESIDENTIAL SECTION D</t>
    </r>
    <r>
      <rPr>
        <sz val="9"/>
        <color theme="1"/>
        <rFont val="Calibri"/>
        <family val="2"/>
        <scheme val="minor"/>
      </rPr>
      <t xml:space="preserve">
1570 West 7th Avenue
Vancouver, B.C.
V6J 5M1</t>
    </r>
  </si>
  <si>
    <t>20 Residential Units</t>
  </si>
  <si>
    <t xml:space="preserve">5385
(EXPAND ROW FOR COMPLETE LIST OF PROJECT NOs.)
5385-1A SL1-5 5108 Claude
5385-1B SL6-13 5028 Savile Row
5385-1C SL14-21 5048 Savile Row
5385-2A 5068 Savile Row
5385-2B 5088 Savile Row
5385-3A 5122 Canada Way
5385-3B 5128 Canada Way
5385-3C 5118 Savile Row
5385-4A 5208 Savile Row
5385-4B 5202 Savile Row
5385-5A 5132 Canada Way
5385-5B 5138 Canada Way
5385-5C 5148 Savile Row
5385-5D 5158 Savile Row
5385-5E 5168 Savile Row
5385-6A 5152 Canada Way
5385-6B 5178  Savile Row
5385-6C 5142 Canada Way
5385-6D 5188 Savile Row
5385-6E 5160 Canada Way
5385-7A 5228 Savile Row
5385-7B 5218 Savile Row
5385-8A 5058 Savile Row
5385-8B 5038 Savile Row
</t>
  </si>
  <si>
    <r>
      <t xml:space="preserve">5255
</t>
    </r>
    <r>
      <rPr>
        <b/>
        <sz val="9"/>
        <color indexed="10"/>
        <rFont val="Calibri"/>
        <family val="2"/>
      </rPr>
      <t xml:space="preserve">5255-1 (Tower 1)
5255-2 (Tower 2)
</t>
    </r>
  </si>
  <si>
    <r>
      <t xml:space="preserve">5256 – Park Place Joint
5256-1 (One Park Place)
5256-2 (Two Park Place)
5256-C (Commercial)
</t>
    </r>
    <r>
      <rPr>
        <b/>
        <sz val="9"/>
        <color indexed="10"/>
        <rFont val="Calibri"/>
        <family val="2"/>
      </rPr>
      <t xml:space="preserve">
</t>
    </r>
  </si>
  <si>
    <r>
      <t xml:space="preserve">5395
</t>
    </r>
    <r>
      <rPr>
        <b/>
        <sz val="9"/>
        <rFont val="Calibri"/>
        <family val="2"/>
      </rPr>
      <t>5395-1 (East, 3107 Windsor Gate)
5395-2 (West, 1135 Windsor Mews)</t>
    </r>
  </si>
  <si>
    <r>
      <t xml:space="preserve">5576
</t>
    </r>
    <r>
      <rPr>
        <b/>
        <i/>
        <sz val="9"/>
        <rFont val="Calibri"/>
        <family val="2"/>
        <scheme val="minor"/>
      </rPr>
      <t>(formerly 5738)</t>
    </r>
  </si>
  <si>
    <t>Concierge:
triompheconcierge@rservice.ca
604-719-4122
Building Manager
Kailas Kartha (KK)
Phone: 604-202-0281
Email: triomphebm@rservice.ca</t>
  </si>
  <si>
    <t>Sunday, December 7, 2025</t>
  </si>
  <si>
    <t>Tuesday, December 30, 2025</t>
  </si>
  <si>
    <t>Wednesday,
 December 31, 2025</t>
  </si>
  <si>
    <t>12/14/Sunday, December 14, 2025</t>
  </si>
  <si>
    <r>
      <rPr>
        <b/>
        <sz val="9"/>
        <color theme="1"/>
        <rFont val="Calibri"/>
        <family val="2"/>
        <scheme val="minor"/>
      </rPr>
      <t xml:space="preserve">QUAIL LANDING </t>
    </r>
    <r>
      <rPr>
        <sz val="9"/>
        <color theme="1"/>
        <rFont val="Calibri"/>
        <family val="2"/>
        <scheme val="minor"/>
      </rPr>
      <t xml:space="preserve">
1979 Country Club Drive
Kelowna, B.C. 
V1V 0H6</t>
    </r>
  </si>
  <si>
    <t>EPS8157</t>
  </si>
  <si>
    <t>Friday, December 12, 2025</t>
  </si>
  <si>
    <t>Monday, December 1, 2025</t>
  </si>
  <si>
    <t>Wednesday, December 3, 2025</t>
  </si>
  <si>
    <t>Terry Li (Senior PM)
Michelle Ross 
(Junior PM)</t>
  </si>
  <si>
    <r>
      <rPr>
        <b/>
        <sz val="9"/>
        <color theme="1"/>
        <rFont val="Calibri"/>
        <family val="2"/>
        <scheme val="minor"/>
      </rPr>
      <t>SAINT GEORGE - JOINT</t>
    </r>
    <r>
      <rPr>
        <sz val="9"/>
        <color theme="1"/>
        <rFont val="Calibri"/>
        <family val="2"/>
        <scheme val="minor"/>
      </rPr>
      <t xml:space="preserve">
2471 St. George Street
Vancouver, B.C.
V5T 0L8</t>
    </r>
  </si>
  <si>
    <t>EPS11898</t>
  </si>
  <si>
    <t>91 Residential Units
8 Commercial Units
TOTAL – 99 Units</t>
  </si>
  <si>
    <r>
      <rPr>
        <b/>
        <sz val="9"/>
        <color theme="1"/>
        <rFont val="Calibri"/>
        <family val="2"/>
        <scheme val="minor"/>
      </rPr>
      <t>SAINT GEORGE - RESIDENTIAL SECTION</t>
    </r>
    <r>
      <rPr>
        <sz val="9"/>
        <color theme="1"/>
        <rFont val="Calibri"/>
        <family val="2"/>
        <scheme val="minor"/>
      </rPr>
      <t xml:space="preserve">
2471 St. George Street
Vancouver, B.C.
V5T 0L8</t>
    </r>
  </si>
  <si>
    <r>
      <rPr>
        <b/>
        <sz val="9"/>
        <color theme="1"/>
        <rFont val="Calibri"/>
        <family val="2"/>
        <scheme val="minor"/>
      </rPr>
      <t>SAINT GEORGE - COMMERCIAL SECTION</t>
    </r>
    <r>
      <rPr>
        <sz val="9"/>
        <color theme="1"/>
        <rFont val="Calibri"/>
        <family val="2"/>
        <scheme val="minor"/>
      </rPr>
      <t xml:space="preserve">
2471 St. George Street
Vancouver, B.C.
V5T 0L8</t>
    </r>
  </si>
  <si>
    <t>8 Commercial Units</t>
  </si>
  <si>
    <r>
      <rPr>
        <b/>
        <sz val="9"/>
        <color theme="1"/>
        <rFont val="Calibri"/>
        <family val="2"/>
        <scheme val="minor"/>
      </rPr>
      <t>EXECUTIVE ON THE PARK</t>
    </r>
    <r>
      <rPr>
        <sz val="9"/>
        <color theme="1"/>
        <rFont val="Calibri"/>
        <family val="2"/>
        <scheme val="minor"/>
      </rPr>
      <t xml:space="preserve">
423 6th Street
West Vancouver, BC</t>
    </r>
  </si>
  <si>
    <t>EPS10569</t>
  </si>
  <si>
    <t>67 Residential Units</t>
  </si>
  <si>
    <t>Chris Sargent 
(Senior PM)
KaWing Ng
(Junior PM)</t>
  </si>
  <si>
    <t>Monday, October 6, 2025</t>
  </si>
  <si>
    <t>Wednesday, December 17, 2025</t>
  </si>
  <si>
    <t>Wednesday, October 15, 2025</t>
  </si>
  <si>
    <t>Building Manager
Phub
alaska@rservice.ca
604-314-6421
Monday to Friday 8:30-16:30</t>
  </si>
  <si>
    <t xml:space="preserve">5709
5709-E (3038 St. George)
5709-W (3018 St. George) </t>
  </si>
  <si>
    <t>Building Manager
Harshjot Singh
Office: 604-461-2504
Cell: 778-870-2553
oasis@rservice.ca</t>
  </si>
  <si>
    <t>Saturday, January 31, 2026</t>
  </si>
  <si>
    <r>
      <t xml:space="preserve">5812
Phase 1:
</t>
    </r>
    <r>
      <rPr>
        <sz val="9"/>
        <rFont val="Calibri"/>
        <family val="2"/>
        <scheme val="minor"/>
      </rPr>
      <t xml:space="preserve">5812-A is 1942 Starling Drive
5812-C is 1930 Starling Drive
</t>
    </r>
    <r>
      <rPr>
        <b/>
        <sz val="9"/>
        <rFont val="Calibri"/>
        <family val="2"/>
        <scheme val="minor"/>
      </rPr>
      <t xml:space="preserve">Phase 2:
</t>
    </r>
    <r>
      <rPr>
        <sz val="9"/>
        <rFont val="Calibri"/>
        <family val="2"/>
        <scheme val="minor"/>
      </rPr>
      <t>5812-B, 4772 Douglas Fir Way</t>
    </r>
  </si>
  <si>
    <t>Tuesday, January 13, 2026</t>
  </si>
  <si>
    <t>Saturday, January 10, 2026</t>
  </si>
  <si>
    <t>Friday, January 23, 2026</t>
  </si>
  <si>
    <t>Thursday, January 1, 2026</t>
  </si>
  <si>
    <t>Sunday, January 11, 2026</t>
  </si>
  <si>
    <t>Friday, January 9, 2026</t>
  </si>
  <si>
    <t>Wednesday, January 21, 2026</t>
  </si>
  <si>
    <t>Tuesday, January 20, 2026</t>
  </si>
  <si>
    <t>Thursday, January 8, 2026</t>
  </si>
  <si>
    <t>Monday, January 5, 2026</t>
  </si>
  <si>
    <t>CKS/CCS  
(Cherie)</t>
  </si>
  <si>
    <t>Monday, January 6, 2025</t>
  </si>
  <si>
    <t xml:space="preserve">5697
5697-E (7433 Cambie)
5697-W (7418 Paulson)
NLM as of October 31, 2025
MNT Realty </t>
  </si>
  <si>
    <t>5310
5310-1 (Building 1, 1177 Marine Dr)
5310-2 (Building 2, 1182 W 16th St)
NLM as of October 31, 2025
Dwell</t>
  </si>
  <si>
    <t>MB</t>
  </si>
  <si>
    <r>
      <rPr>
        <b/>
        <sz val="9"/>
        <color theme="1"/>
        <rFont val="Calibri"/>
        <family val="2"/>
        <scheme val="minor"/>
      </rPr>
      <t>BAILEY</t>
    </r>
    <r>
      <rPr>
        <sz val="9"/>
        <color theme="1"/>
        <rFont val="Calibri"/>
        <family val="2"/>
        <scheme val="minor"/>
      </rPr>
      <t xml:space="preserve">
4928 Quebec Street
Vancouver, BC
V5W 0G6</t>
    </r>
  </si>
  <si>
    <t>EPS12090</t>
  </si>
  <si>
    <t>61 Units</t>
  </si>
  <si>
    <t>Caretaker:
John Paul Ojeda
lilibet@rservice.ca</t>
  </si>
  <si>
    <r>
      <rPr>
        <b/>
        <sz val="9"/>
        <color theme="1"/>
        <rFont val="Calibri"/>
        <family val="2"/>
        <scheme val="minor"/>
      </rPr>
      <t>ARTESIA</t>
    </r>
    <r>
      <rPr>
        <sz val="9"/>
        <color theme="1"/>
        <rFont val="Calibri"/>
        <family val="2"/>
        <scheme val="minor"/>
      </rPr>
      <t xml:space="preserve">
5685 Halley Avenue
Burnaby, BC
 V5H 0L9
Townhouse addresses
5681 &amp; 5683 Halley Avenue, 
Burnaby, BC V5H 0L9</t>
    </r>
  </si>
  <si>
    <t>Acera (with KC3)</t>
  </si>
  <si>
    <t>Monday, February 9, 2026</t>
  </si>
  <si>
    <t>Saturday, February 14, 2026</t>
  </si>
  <si>
    <t>Sunday, February 15, 2026</t>
  </si>
  <si>
    <t>CF
(BN is Admin)</t>
  </si>
  <si>
    <t>Paul Lawson – skaha@rservice.ca ; phone: 250-498-7894</t>
  </si>
  <si>
    <t xml:space="preserve"> jnavarrete@cobbett-cotton.com</t>
  </si>
  <si>
    <t>ACERA</t>
  </si>
  <si>
    <t xml:space="preserve">Building Caretaker:  Singnie Kwok
Tel:  778-893-7778
Email: thegrandmgr@gmail.com  </t>
  </si>
  <si>
    <t>Building Caretaker: Singnie Kwok
Tel: 778-893-7778
Email: thegrandmgr@gmail.com</t>
  </si>
  <si>
    <t xml:space="preserve">Building Manager: Singnie Kwok
Tel: 778-893-7778
Email: thegrandmgr@gmail.com  </t>
  </si>
  <si>
    <t>Friday, February 6, 2026</t>
  </si>
  <si>
    <t>Tuesday, February 10, 2026</t>
  </si>
  <si>
    <t>Saturday, February 7, 2026</t>
  </si>
  <si>
    <t xml:space="preserve">Building Manager: Howard Chow (Five Star)
bm.bcs3407@gmail.com (do not give out)
(Mon to Fri 12pm-4pm)
604-782-8835 (do not give out)
Concierge: 604-608-8754
Email: tvtowersconcierge@rservice.ca
</t>
  </si>
  <si>
    <t>Building Manager: Howard Chow (Five Star)
bm.bcs3407@gmail.com (do not give out)
(Mon to Fri 12pm-4pm)
604-782-8835 (do not give out)
Concierge: 604-608-8754
Email: tvtowersconcierge@rservice.ca</t>
  </si>
  <si>
    <t xml:space="preserve">24 hrs - Concierge:
Head Concierge: Niusha Ghaffari
Email: avenue.one@rservice.ca
Phone: 604-328-1237
Building Manager:
Harparas Singh
avenueone@alliancecleans.com  (do not give out)
604-306-1705 (do not give out)
</t>
  </si>
  <si>
    <t>Sunday, February 8, 2026</t>
  </si>
  <si>
    <t>Friday, February 27, 2026</t>
  </si>
  <si>
    <t>MR/CKS
(Katy L is Admin)</t>
  </si>
  <si>
    <t>SC/TL
(Katy L is Admin)</t>
  </si>
  <si>
    <t xml:space="preserve">Building Caretaker: Siman Kaur
Telephone: 604-290-2734 Email: thecommons@rservice.ca
On Site
Monday to Friday: 8 a.m. to 4 p.m. </t>
  </si>
  <si>
    <t xml:space="preserve">Concierge: Alexis Birks
604-818-6013 (okay to give out)
epicatwest@rservice.ca </t>
  </si>
  <si>
    <t xml:space="preserve">Caretaker: Ray Muto
fraser@rservice.ca
Alternate email : raymuto@hotmail.com (do not give out)
</t>
  </si>
  <si>
    <r>
      <rPr>
        <b/>
        <sz val="9"/>
        <color theme="1"/>
        <rFont val="Calibri"/>
        <family val="2"/>
        <scheme val="minor"/>
      </rPr>
      <t>WINTERRA AT THE LAKES</t>
    </r>
    <r>
      <rPr>
        <sz val="9"/>
        <color theme="1"/>
        <rFont val="Calibri"/>
        <family val="2"/>
        <scheme val="minor"/>
      </rPr>
      <t xml:space="preserve">
2532 Shoreline Drive 
Lake Country, BC 
V4V 2R6</t>
    </r>
  </si>
  <si>
    <t xml:space="preserve">Lake Country, BC </t>
  </si>
  <si>
    <t>KAS3521</t>
  </si>
  <si>
    <t>AM/TL</t>
  </si>
  <si>
    <t>$300
$200 for units that do not require elevator hallway or stairwell access (i.e. townhomes)</t>
  </si>
  <si>
    <t xml:space="preserve">Building Manager
Tony Chau
Monday to Friday 8:00 a.m. to 4:00 p.m.
Email: Saffron@rservice.ca
Phone: 604-273-0626 (ok to give out)
Cell: 778-874-3782 (do not give out)
</t>
  </si>
  <si>
    <t xml:space="preserve"> $400
(Covers move in and out)
No move fee for all owners/resident who moved in prior to Jan 1, 2022</t>
  </si>
  <si>
    <t>$200 Move in Fee</t>
  </si>
  <si>
    <t>Raymond Wei
mandarinmgr@gmail.com (primary)
mandarinresidence@rservice.ca
604-285-3378 (Ok to give out)
604-220-1581 (Do not give out)</t>
  </si>
  <si>
    <t xml:space="preserve">Building Manager
Ram Shrestha 
604-218-9741
1277caretaker@gmail.com
</t>
  </si>
  <si>
    <t>TRAILS 2
535, 545, 555, 565 East 2nd Street
North Vancouver, BC
V7L 1E1</t>
  </si>
  <si>
    <t>5749 
5749C (545) = Units 141-146, 241-246 &amp; 441-446
5749D (565) = Units 161-164 &amp; 461-464
5749E (555) = Units 151-157 &amp; 351-357
5749F (535) = Units 131-138</t>
  </si>
  <si>
    <t>Building Superviser: Don Ganja
Phone: 604-319-1338
Email: pura@rservice.ca 
Hours: Monday to Friday, 8:00 a.m. - 4:00 p.m.</t>
  </si>
  <si>
    <t>Site Contact
Anne
604-314-8928
grafia@rservice.ca</t>
  </si>
  <si>
    <t>Must provide a $50.00 non-refundable fee prior to a move-in or move out.
Must provide a $150.00 non-refundable security guard fee to the BM (cash).</t>
  </si>
  <si>
    <t xml:space="preserve">ecc@rservice.ca </t>
  </si>
  <si>
    <t>Concierge:
Manveer Kaur (weekdays) 
Komalpreet Kaur (weekends)
236-838-9425
thespot@rservice.ca
Building Manager:
Artur Filho
672-336-7949
thespotbm@rservice.ca</t>
  </si>
  <si>
    <t>Gyembo Tenzin (BM)
Mobile: 604-716-8533 
Email: caretakeralto@gmail.com (Alliance Maintenance)
Alliance Contact Information (DO NOT GIVE OUT)
24/7 Emergency Line 800-449-6027 (Live Operator)
Nitin Prasad - BMCC Operations Manager
nitin@alliancecleans.com
604-218-9624 
Monday-Friday, 8am-4pm
Taurean Moses - General manager 
taurean@alliancecleans.com
604-621-3060
Monday-Friday, 8am-4pm</t>
  </si>
  <si>
    <t xml:space="preserve">Gyembo Tenzin (BM)
Mobile: 604-716-8533 
Email: caretakeralto@gmail.com (Alliance Maintenance)
Alliance Contact Information (DO NOT GIVE OUT)
24/7 Emergency Line 800-449-6027 (Live Operator)
Nitin Prasad - BMCC Operations Manager
nitin@alliancecleans.com
604-218-9624 
Monday-Friday, 8am-4pm
Taurean Moses - General manager 
taurean@alliancecleans.com
604-621-3060
Monday-Friday, 8am-4pm
</t>
  </si>
  <si>
    <t>Steve Cowie
604 418 2764 (Do not give out)
stevecowie@shaw.ca (Do not give out)
 Tues/Thurs (10:30am to 12:30pm)</t>
  </si>
  <si>
    <t xml:space="preserve">Building Supervisor:  
Pamela Robles
Monday to Friday 8:00 AM to 4:00 PM
caretaker@kellyboy.ca (give out) - Admin Support
604-600-5172 (do not give out)
Terence
604-396-0515
buildingmanager2@kellyboy.ca  </t>
  </si>
  <si>
    <r>
      <t xml:space="preserve">5311
</t>
    </r>
    <r>
      <rPr>
        <b/>
        <sz val="9"/>
        <color rgb="FFFF0000"/>
        <rFont val="Calibri"/>
        <family val="2"/>
        <scheme val="minor"/>
      </rPr>
      <t>NLM as of November 30, 2025
Dwell</t>
    </r>
  </si>
  <si>
    <t>AXIS</t>
  </si>
  <si>
    <t>None
CHECK MET 1 and MET 2</t>
  </si>
  <si>
    <t>Travelers Canada</t>
  </si>
  <si>
    <t xml:space="preserve">TBD
</t>
  </si>
  <si>
    <t>Acera (CapriCMW)</t>
  </si>
  <si>
    <t>CanSure</t>
  </si>
  <si>
    <t>Valuations West Property
Year 2 of 3</t>
  </si>
  <si>
    <t>Axis</t>
  </si>
  <si>
    <t>Delta,  BC</t>
  </si>
  <si>
    <t>EPS9803</t>
  </si>
  <si>
    <t>Phase One – 149 Units
Phase Two – 142 Units
TOTAL – 291 Units</t>
  </si>
  <si>
    <t>April, 2026</t>
  </si>
  <si>
    <t>Surrey,  BC</t>
  </si>
  <si>
    <t>EPS11797</t>
  </si>
  <si>
    <r>
      <rPr>
        <b/>
        <sz val="9"/>
        <color theme="1"/>
        <rFont val="Calibri"/>
        <family val="2"/>
        <scheme val="minor"/>
      </rPr>
      <t xml:space="preserve">GEORGETOWN  2
</t>
    </r>
    <r>
      <rPr>
        <sz val="9"/>
        <color theme="1"/>
        <rFont val="Calibri"/>
        <family val="2"/>
        <scheme val="minor"/>
      </rPr>
      <t>13738 Central Avenue
Surrey, B.C.V3T 0X5</t>
    </r>
  </si>
  <si>
    <r>
      <t xml:space="preserve">5794 Victoria Drive
</t>
    </r>
    <r>
      <rPr>
        <sz val="9"/>
        <color theme="1"/>
        <rFont val="Calibri"/>
        <family val="2"/>
        <scheme val="minor"/>
      </rPr>
      <t xml:space="preserve">Vancouver, B.C. </t>
    </r>
    <r>
      <rPr>
        <b/>
        <sz val="9"/>
        <color theme="1"/>
        <rFont val="Calibri"/>
        <family val="2"/>
        <scheme val="minor"/>
      </rPr>
      <t xml:space="preserve">
</t>
    </r>
    <r>
      <rPr>
        <sz val="9"/>
        <color theme="1"/>
        <rFont val="Calibri"/>
        <family val="2"/>
        <scheme val="minor"/>
      </rPr>
      <t>V5P 3W7</t>
    </r>
  </si>
  <si>
    <t xml:space="preserve">Dan Geddes
Maintenance Manager 
d. 604-895-8211
dan.geddes@sundialhotel.com 
Giorgio De Silvo
Rooms Division Manager 
d. 604.996.3000 
giorgio.desilvo@sundialhotel.com   
Jon Walker
Housekeeping Manager 
d. 604.902.3567 
jon.walker@sundialhotel.com
</t>
  </si>
  <si>
    <t>Mohamed Abdi
thegrandonkgbm@rservice.ca
604-306-9425
Concierge 
thegrandonkgconcierge@rservice.ca
604-306-0619</t>
  </si>
  <si>
    <t>Mohamed Abdi
thegrandonkgbm@rservice.ca
604-306-9425</t>
  </si>
  <si>
    <t>Sunday, March 1, 2026</t>
  </si>
  <si>
    <t>Fran Brouse: 250-864-8181, Mon-Fri, 8am-5pm, Part-Time (for residents use)
personal cell: 778-932-0028 (DO NOT GIVE OUT) 
winterra@telus.net</t>
  </si>
  <si>
    <t>Tuesday, March 17, 2026</t>
  </si>
  <si>
    <t>Building Manager
Shawn Ohja
kev2buildingmanager@rservice.ca
778-877-9596 (OK to give out)
236-777-5214 (do NOT give out)</t>
  </si>
  <si>
    <t>Saturday, March 7, 2026</t>
  </si>
  <si>
    <r>
      <t xml:space="preserve">WORDSWORTH
</t>
    </r>
    <r>
      <rPr>
        <sz val="9"/>
        <rFont val="Calibri"/>
        <family val="2"/>
        <scheme val="minor"/>
      </rPr>
      <t>6138 Birney Avenue
Vancouver, BC 
V6S 0N1</t>
    </r>
  </si>
  <si>
    <t>EPS11825</t>
  </si>
  <si>
    <t>231 Units</t>
  </si>
  <si>
    <t>Caretaker: Concorde Services
info@concordeservices.com
Monday and Friday
9 a.m. to 12 p.m.</t>
  </si>
  <si>
    <t xml:space="preserve">Concierge
Tel: 604-362-7554
Email: primeconcierge@rservice.ca
Building Manager: Fabian Uribe  
Tel: 604-362-7551
Email: primeBM@rservice.ca
</t>
  </si>
  <si>
    <t>Friday, March 27, 2026</t>
  </si>
  <si>
    <t>Friday, March 13, 2026</t>
  </si>
  <si>
    <t>Tuesday, March 31, 2026</t>
  </si>
  <si>
    <t>Friday, March 20, 2026</t>
  </si>
  <si>
    <t>Tuesday, March 24, 2026</t>
  </si>
  <si>
    <t>Saturday, March 21, 2026</t>
  </si>
  <si>
    <t>Wednesday, March 18, 2026</t>
  </si>
  <si>
    <t>Tuesday, March 10, 2026</t>
  </si>
  <si>
    <t xml:space="preserve">John Paul Ojeda
Email: johnpaul@linis.ca
Phone: 604-351-7544
On Site Monday – Friday, 8am-12pm
</t>
  </si>
  <si>
    <t>Sandra - Caretaker
Email: theclarkson@rservice.ca 
Phone: 604 505 8278</t>
  </si>
  <si>
    <t>Randy
672-755-8031 (do not give out)
GeorgiaEast@rservice.ca</t>
  </si>
  <si>
    <t>Amber/Kris
833-256-5462
help@browmac.com
Caretakers are on site Monday to Friday between 930am - 230pm.
Director of Browmac 
Kris Hoseman 
kris@imagineservices.ca</t>
  </si>
  <si>
    <t>Saturday, March 14, 2026</t>
  </si>
  <si>
    <t>Sunday, March 29, 2026</t>
  </si>
  <si>
    <t xml:space="preserve">Building Manager:
LMC - Randy Salarza
604-339-2152 (do not give out)
georgiawest@rservice.ca
</t>
  </si>
  <si>
    <t>Monday, March 9, 2026</t>
  </si>
  <si>
    <t>Thursday, March 12, 2026</t>
  </si>
  <si>
    <t>5093
5093-1 (7680 Tower 1)
5093-2 (7760 Tower 2)
5093-3 (7700 TH)</t>
  </si>
  <si>
    <t>Wednesday, April 1, 2026</t>
  </si>
  <si>
    <t>Monday, January 12, 2026</t>
  </si>
  <si>
    <t>Acera
Same as EPS8060</t>
  </si>
  <si>
    <r>
      <t xml:space="preserve">SUNDIAL
</t>
    </r>
    <r>
      <rPr>
        <sz val="9"/>
        <color theme="1"/>
        <rFont val="Calibri"/>
        <family val="2"/>
      </rPr>
      <t>4340 Sundial Crescent 
Whistler, British Columbia
V0N 1B0</t>
    </r>
    <r>
      <rPr>
        <b/>
        <sz val="9"/>
        <color theme="1"/>
        <rFont val="Calibri"/>
        <family val="2"/>
      </rPr>
      <t xml:space="preserve">
</t>
    </r>
  </si>
  <si>
    <t>Wednesday, April 15, 2026</t>
  </si>
  <si>
    <t>355 Units</t>
  </si>
  <si>
    <r>
      <t xml:space="preserve">HAWKSLEY
</t>
    </r>
    <r>
      <rPr>
        <sz val="9"/>
        <rFont val="Calibri"/>
        <family val="2"/>
        <scheme val="minor"/>
      </rPr>
      <t>3963 Uplands Way 
West Vancouver, BC V7S 0B6</t>
    </r>
  </si>
  <si>
    <t xml:space="preserve">EPS12190
</t>
  </si>
  <si>
    <t xml:space="preserve">
Caretaker:
Anjali
604-862-2593 (do not give out)
lookout@rservice.ca (do not give out)
Hours: Monday to Friday - 8:00 AM to 4:00 PM
</t>
  </si>
  <si>
    <t>Wednesday, March 25, 2026 
(Phase 1 - 6)</t>
  </si>
  <si>
    <t xml:space="preserve">LZ
</t>
  </si>
  <si>
    <t xml:space="preserve">MB
</t>
  </si>
  <si>
    <t xml:space="preserve">Andrew  Kwok
604-786-9466
carrera@rservice.ca
Mon to Fri 
9am-5pm
</t>
  </si>
  <si>
    <t>Sunday, April 26, 2026</t>
  </si>
  <si>
    <t>Thursday, April 30, 2026</t>
  </si>
  <si>
    <r>
      <t xml:space="preserve">5758
</t>
    </r>
    <r>
      <rPr>
        <b/>
        <sz val="9"/>
        <color rgb="FFFF0000"/>
        <rFont val="Calibri"/>
        <family val="2"/>
        <scheme val="minor"/>
      </rPr>
      <t>NLM as of January 31, 2026</t>
    </r>
    <r>
      <rPr>
        <b/>
        <sz val="9"/>
        <rFont val="Calibri"/>
        <family val="2"/>
        <scheme val="minor"/>
      </rPr>
      <t xml:space="preserve">
</t>
    </r>
    <r>
      <rPr>
        <b/>
        <sz val="9"/>
        <color rgb="FFFF0000"/>
        <rFont val="Calibri"/>
        <family val="2"/>
        <scheme val="minor"/>
      </rPr>
      <t>Dwell</t>
    </r>
  </si>
  <si>
    <r>
      <t xml:space="preserve">5674
</t>
    </r>
    <r>
      <rPr>
        <b/>
        <sz val="9"/>
        <color rgb="FFFF0000"/>
        <rFont val="Calibri"/>
        <family val="2"/>
        <scheme val="minor"/>
      </rPr>
      <t>NLM as of January 31, 2026</t>
    </r>
    <r>
      <rPr>
        <b/>
        <sz val="9"/>
        <color theme="1"/>
        <rFont val="Calibri"/>
        <family val="2"/>
        <scheme val="minor"/>
      </rPr>
      <t xml:space="preserve">
</t>
    </r>
    <r>
      <rPr>
        <b/>
        <sz val="9"/>
        <color rgb="FFFF0000"/>
        <rFont val="Calibri"/>
        <family val="2"/>
        <scheme val="minor"/>
      </rPr>
      <t>Dwell</t>
    </r>
  </si>
  <si>
    <t xml:space="preserve">5783
NLM as of October 31, 2025
Fort Park Real Estate </t>
  </si>
  <si>
    <t>Caretaker: Carlos Quintana
Mon, Tues, Thu, Fri: 8am to 12pm
Wed: 12pm to 4pm
bastille@rservice.ca</t>
  </si>
  <si>
    <t>Saturday, April 11, 2026</t>
  </si>
  <si>
    <t>Wednesday, April 22, 2026</t>
  </si>
  <si>
    <t>Saturday, April 25, 2026</t>
  </si>
  <si>
    <t>Tuesday, April 21, 2026</t>
  </si>
  <si>
    <t>Friday, April 24, 2026</t>
  </si>
  <si>
    <t>Friday, April 3, 2026</t>
  </si>
  <si>
    <t>Saturday, April 18, 2026</t>
  </si>
  <si>
    <t>Thursday, February 5, 2026
(Phase 1)</t>
  </si>
  <si>
    <t xml:space="preserve">
Owner's own 
insurance</t>
  </si>
  <si>
    <t xml:space="preserve">June 30, 2026
</t>
  </si>
  <si>
    <t>Wednesday, May 6, 2026</t>
  </si>
  <si>
    <t>Friday, May 1, 2026</t>
  </si>
  <si>
    <t>PIER WEST RENTALS</t>
  </si>
  <si>
    <t>RENTALS</t>
  </si>
  <si>
    <t>50 units</t>
  </si>
  <si>
    <t>JR</t>
  </si>
  <si>
    <t xml:space="preserve">EPS9921
</t>
  </si>
  <si>
    <t>EL/CL
(Christine K. Admin)</t>
  </si>
  <si>
    <t>Friday, May 15, 2026</t>
  </si>
  <si>
    <t>February 20,2027</t>
  </si>
  <si>
    <t>Nick Kehayas 
katsura007@shaw.ca (do not give out)
604-306-8485 (do not give out)
Temporary Building Manager - Clint Taylor
604-505-8564 (DO NOT GIVE OUT)
Afterhour: 778-996-7521
katsura007@shaw.ca
HamptonparkBM@kpcleaning.ca (DO NOT GIVE OUT)</t>
  </si>
  <si>
    <t>Monday, May 25, 2026</t>
  </si>
  <si>
    <t xml:space="preserve">Building Manager: Edwin Caco
604-374-4259 
edwin@linis.ca 
w1@linis.ca 
Concierge: 24 Hours
604-785-4393
W1@rservice.ca </t>
  </si>
  <si>
    <t xml:space="preserve">BM: Carlos
Phone: 604-612-8141
Email: scott77@rservice.ca
</t>
  </si>
  <si>
    <t>Friday, May 29, 2026</t>
  </si>
  <si>
    <t>25-Oct-26    
(Phases 1-5, Strata Lots 1-78)</t>
  </si>
  <si>
    <t>Building Caretaker
Gilbert
604-338-2873
altitudecaretaker@gmail.com
7:30am-3:30pm Monday-Friday</t>
  </si>
  <si>
    <t>76 Units</t>
  </si>
  <si>
    <t>Saturday, May 9, 2026</t>
  </si>
  <si>
    <t>Sunday, May 31, 2026</t>
  </si>
  <si>
    <t>Saturday, May 2, 2026</t>
  </si>
  <si>
    <t>Friday, May 8, 2026</t>
  </si>
  <si>
    <t>Wednesday, May 27, 2026</t>
  </si>
  <si>
    <t>Friday, May 22, 2026</t>
  </si>
  <si>
    <r>
      <t xml:space="preserve">5743
</t>
    </r>
    <r>
      <rPr>
        <b/>
        <sz val="9"/>
        <color rgb="FFFF0000"/>
        <rFont val="Calibri"/>
        <family val="2"/>
        <scheme val="minor"/>
      </rPr>
      <t xml:space="preserve">NLM as of February 28, 2026
Houghton Realty </t>
    </r>
  </si>
  <si>
    <t>EPS4621</t>
  </si>
  <si>
    <t>333 Units
332 Residential
1 Commercial</t>
  </si>
  <si>
    <t>Building Manager:
Louie Liu 
info@alllcare.com
604-783-7915 (personal do not release to residents) 
Wayne Wu, weekday morning building manager
Monday to Friday 8am to 4pm
Excluding statutory holidays
Email: theparamountresi1@gmail.com
Cellphone: (604) 315-5898
Candy Shao, weekday evening building manager 
Monday to Friday 1pm to 9pm 
Excluding statutory holidays 
Email: theparamountresi1@gmail.com
Cellphone: (604) 315-5990
Joseph Cheung, weekend building manager 
Saturday and Sunday 10am to 6pm
Excluding statutory holidays 
Email: theparamountresi1@gmail.com
Cellphone: (604) 315-5990</t>
  </si>
  <si>
    <t>5777
NLM as of March 3, 2026
604 Real Estate</t>
  </si>
  <si>
    <r>
      <rPr>
        <b/>
        <sz val="9"/>
        <color theme="1"/>
        <rFont val="Calibri"/>
        <family val="2"/>
        <scheme val="minor"/>
      </rPr>
      <t xml:space="preserve">SCOTT + 77
</t>
    </r>
    <r>
      <rPr>
        <sz val="9"/>
        <color theme="1"/>
        <rFont val="Calibri"/>
        <family val="2"/>
        <scheme val="minor"/>
      </rPr>
      <t>7728 119A Street, Delta, BC V4C 0E8
7738 119A Street, Delta, BC V4C 0E9</t>
    </r>
  </si>
  <si>
    <t>Onsite building caretaker 
Patricia Aparicio (Patty)
604-328-7647
anchorcaretaker@gmail.com</t>
  </si>
  <si>
    <t>Thursday, May 7, 2026</t>
  </si>
  <si>
    <t>March 29, 2027
(Phase 1-4)</t>
  </si>
  <si>
    <t>Caretaker:
Cheikh Ibra Sene
Tel: 778-875-5570
Email: port.mill@rservice.ca
Building Manager: (Main Contact)
Cheikh Ibra Sene
port.mill@rservice.ca
Office Hours: 
Monday-Friday 8am-4pm</t>
  </si>
  <si>
    <r>
      <rPr>
        <b/>
        <sz val="9"/>
        <color theme="1"/>
        <rFont val="Calibri"/>
        <family val="2"/>
        <scheme val="minor"/>
      </rPr>
      <t>WEST OAK</t>
    </r>
    <r>
      <rPr>
        <sz val="9"/>
        <color theme="1"/>
        <rFont val="Calibri"/>
        <family val="2"/>
        <scheme val="minor"/>
      </rPr>
      <t xml:space="preserve">
6288 Oak Street
Vancouver, BC
V6M 2W4
6256, 6258, 6260, 6262, 6264, 6266, 6268, 6270, 6272, 6274, 6276, 6278, 6280, 6282, 6284, 6286, 6288, 6290, 6292, 6294, 6296, 6298, 6302, 6304, 6306, 6308, 6310, 6312, 6314, 6316, 6318, 6320, 6322, 6324, 6326, 6328, 6330, 6332, 6334, 6336, 6338, 6340, 6342, 6344, 6346, 6348, 6350, 6352, 6354, 6356, 6358, 6360, 6362, 6364, 6366, 6368, 6370, 6372, 6374, 6376, 6378, 6380, 6382 
Oak Street 
Vancouver, BC
V6M 2W4</t>
    </r>
  </si>
  <si>
    <t>Friday, June 5, 2026</t>
  </si>
  <si>
    <t>Wednesday, June 10, 2026</t>
  </si>
  <si>
    <t>Monday, June 15, 2026</t>
  </si>
  <si>
    <t xml:space="preserve">Concierge (8 a.m. to 8 p.m., 7 days)
604-690-2450
artesiaconcierge@rservice.ca 
Building Supervisor (8 a.m. to 12 p.m.)
604-312-5983 (do not give out)
artesiabm@rservice.ca </t>
  </si>
  <si>
    <t>Thursday, May 21, 2026</t>
  </si>
  <si>
    <t>John (BM)
creston@rservice.ca (ok to give out)
Primary: John – 236-333-7046 (Do not give out)
Secondary: Operations - 778-374-1853 (Do not give out)
johnpaul@linis.ca (do not give out)
onsite: Monday, Wednesday Friday
Jun Guevarra
jun@linis.ca
604-351-7544 (do not give out)</t>
  </si>
  <si>
    <t xml:space="preserve">
John (BM)
creston@rservice.ca (ok to give out)
Primary: John – 236-333-7046 (Do not give out)
Secondary: Operations - 778-374-1853 (Do not give out)
johnpaul@linis.ca (do not give out)
onsite: Monday, Wednesday Friday
Jun Guevarra
jun@linis.ca
604-351-7544 (do not give out)</t>
  </si>
  <si>
    <t>Thursday, June 18, 2026</t>
  </si>
  <si>
    <r>
      <rPr>
        <b/>
        <sz val="9"/>
        <color theme="1"/>
        <rFont val="Calibri"/>
        <family val="2"/>
        <scheme val="minor"/>
      </rPr>
      <t xml:space="preserve">THE COMMONS </t>
    </r>
    <r>
      <rPr>
        <sz val="9"/>
        <color theme="1"/>
        <rFont val="Calibri"/>
        <family val="2"/>
        <scheme val="minor"/>
      </rPr>
      <t xml:space="preserve">
8230 208B Street
Langley, B.C.
Building A = V2Y4A2
Building B = V2Y4A3</t>
    </r>
  </si>
  <si>
    <t>Concierge
waterstreetconcierge@rservice.ca
 250-215-3713</t>
  </si>
  <si>
    <r>
      <rPr>
        <b/>
        <sz val="9"/>
        <color theme="1"/>
        <rFont val="Calibri"/>
        <family val="2"/>
        <scheme val="minor"/>
      </rPr>
      <t>LENNOX</t>
    </r>
    <r>
      <rPr>
        <sz val="9"/>
        <color theme="1"/>
        <rFont val="Calibri"/>
        <family val="2"/>
        <scheme val="minor"/>
      </rPr>
      <t xml:space="preserve">
100 &amp; 110 E. 17th Street
1708, 1716, 1724, 1732, 1736 &amp; 1740 Lonsdale Avenue
North Vancouver, BC</t>
    </r>
  </si>
  <si>
    <r>
      <t xml:space="preserve">WALL CENTRE CENTRAL PARK TOWER 3
(JOINT)
</t>
    </r>
    <r>
      <rPr>
        <sz val="9"/>
        <rFont val="Calibri"/>
        <family val="2"/>
        <scheme val="minor"/>
      </rPr>
      <t>5470 Ormidale Street
Vancouver, BC
V5R 0G6</t>
    </r>
  </si>
  <si>
    <t>EPS12039</t>
  </si>
  <si>
    <t>64 Residential
17 Commercial
Total: 81 Units</t>
  </si>
  <si>
    <t>Types</t>
  </si>
  <si>
    <t>Concierge: (Mohammad)
concierge@executiveonthepark.com
236-308-2086
Monday - Friday 9 a.m. - 5 p.m
onsite security Monday - Friday 8 p.m. to 8 a.m., Saturday and Sunday 7 p.m. - 7 a.m
236-308-2086
Building Manager: (Daria Lubczyk)
manager@executiveonthepark.com
604-396-9066 (Do not give out)
Monday - Friday  9 a.m. - 5 p.m.</t>
  </si>
  <si>
    <t>Thursday, June 25, 2026</t>
  </si>
  <si>
    <r>
      <rPr>
        <b/>
        <sz val="9"/>
        <rFont val="Calibri"/>
        <family val="2"/>
        <scheme val="minor"/>
      </rPr>
      <t xml:space="preserve">THE BRUNSWICK (COMMERCIAL SECTION)
</t>
    </r>
    <r>
      <rPr>
        <sz val="9"/>
        <rFont val="Calibri"/>
        <family val="2"/>
        <scheme val="minor"/>
      </rPr>
      <t>4011 Bayview Street
Richmond, BC V7E 0A4</t>
    </r>
  </si>
  <si>
    <t>BCS1165</t>
  </si>
  <si>
    <t>Commercial Section 
(Accounting Only)</t>
  </si>
  <si>
    <t xml:space="preserve">BM: Jose Aldemar: 236-788-9321
(part time work hours: 9:30am to 5:00pm Monday, 
Tuesday, Thursday &amp; Friday) </t>
  </si>
  <si>
    <t>January 20,2027</t>
  </si>
  <si>
    <t>Monday, June 29, 2026</t>
  </si>
  <si>
    <t>Building Caretaker: Victoria Trujillo
Email: residence.lynnvalley@rservice.ca
Phone: 604-830-2541
On site Monday – Friday 8:00am – 4:00pm</t>
  </si>
  <si>
    <t>Saturday, March 28, 2026</t>
  </si>
  <si>
    <t xml:space="preserve">CCS/LZ
</t>
  </si>
  <si>
    <t>Concierge: 604-681-9878 
atelierconcierge@rservice.ca
Building Manager
Damsara Perera
236-996-5909
ateliermanager@rservice.ca
Monday to Friday, 4-hours per day</t>
  </si>
  <si>
    <t>Monday, June 8, 2026</t>
  </si>
  <si>
    <t>Monday, June 1, 2026</t>
  </si>
  <si>
    <t>Sunday, June 21, 2026</t>
  </si>
  <si>
    <t>Saturday, June 20, 2026</t>
  </si>
  <si>
    <t>LZ/CZ
(Anna V. is Admin)</t>
  </si>
  <si>
    <t>June 08, 2026 - Daycare
June 08, 2026 - COMM</t>
  </si>
  <si>
    <t>Tuesday, June 30, 2026</t>
  </si>
  <si>
    <t>Wednesday, June 17, 2026</t>
  </si>
  <si>
    <t>EPS12324</t>
  </si>
  <si>
    <t>51 Residential Units
1 Commercial Unit
TOTAL – 52 Units</t>
  </si>
  <si>
    <t>51 Residential Units</t>
  </si>
  <si>
    <t>Tuesday, June 16, 2026</t>
  </si>
  <si>
    <t>JP Ojeda (Part Time)
236-333-7046 (do not give out)
Capitol@rservice.ca</t>
  </si>
  <si>
    <t xml:space="preserve">lennox@rservice.ca </t>
  </si>
  <si>
    <t>Navacord</t>
  </si>
  <si>
    <r>
      <t xml:space="preserve">CONFERENCE PLAZA (RESIDENTIAL)
</t>
    </r>
    <r>
      <rPr>
        <sz val="9"/>
        <color rgb="FFFF0000"/>
        <rFont val="Calibri"/>
        <family val="2"/>
      </rPr>
      <t xml:space="preserve">438 Seymour Street
Vancouver, B.C.
V6B 6H4 </t>
    </r>
    <r>
      <rPr>
        <b/>
        <sz val="9"/>
        <color rgb="FFFF0000"/>
        <rFont val="Calibri"/>
        <family val="2"/>
      </rPr>
      <t xml:space="preserve">
</t>
    </r>
  </si>
  <si>
    <t>Wednesday, July 1, 2026</t>
  </si>
  <si>
    <t>Sunday, March 29, 2026
(Phase 1-5)</t>
  </si>
  <si>
    <t>Concierge: Tony, Phone: 604-681-0159 
Bldg. Manager: Imran Mohammad 
Phone: 604-681-0159
Email: westoneconcierge@rservice.ca</t>
  </si>
  <si>
    <t>Delon Sogocio
dsogocio@allbrightservices.ca
Part time asst: 
Vikram Chahal 
Phone: 604-910-8982
Ekta / Anthony
Concierge: 604-689-9010 
Email:spectrumconcierge@rservice.ca</t>
  </si>
  <si>
    <t>Lorena Santos 
604-315-8283
westcoastestates@rservice.ca
Monday-Wednesday-Friday 8:00 a.m-12:00 p.m.</t>
  </si>
  <si>
    <t>Wednesday, July 15, 2026</t>
  </si>
  <si>
    <t>EPS12295</t>
  </si>
  <si>
    <t>341 Residential Units</t>
  </si>
  <si>
    <r>
      <t xml:space="preserve">CITY CORNERS
</t>
    </r>
    <r>
      <rPr>
        <sz val="9"/>
        <rFont val="Calibri"/>
        <family val="2"/>
        <scheme val="minor"/>
      </rPr>
      <t>10065 133 Street
Surrey, B.C</t>
    </r>
  </si>
  <si>
    <t>Friday, June 27, 2025</t>
  </si>
  <si>
    <t>Building Manager
Carlos Felipe Gomez 
778-833-0750
thecrown@rservice.ca</t>
  </si>
  <si>
    <t>Lily Ramirez
2rppcomm@rservice.ca
672 963 3384</t>
  </si>
  <si>
    <t>July  31,2026</t>
  </si>
  <si>
    <r>
      <t xml:space="preserve">FORM –
RESIDENTIAL SECTION
</t>
    </r>
    <r>
      <rPr>
        <sz val="9"/>
        <color theme="1"/>
        <rFont val="Calibri"/>
        <family val="2"/>
        <scheme val="minor"/>
      </rPr>
      <t>1530 W 6th Avenue
1526, 1528, 1532, 1534, 1536 &amp; 1538 W. 6th Avenue
Vancouver, BC</t>
    </r>
  </si>
  <si>
    <r>
      <t xml:space="preserve">FORM – JOINT
</t>
    </r>
    <r>
      <rPr>
        <sz val="9"/>
        <rFont val="Calibri"/>
        <family val="2"/>
        <scheme val="minor"/>
      </rPr>
      <t>1524 - 1538 W 6th Avenue
Vancouver, B.C. 
Residential: 
1530 W 6th Avenue
1526, 1528, 1532, 1534, 1536 &amp; 1538 W. 6th Avenue
Vancouver, BC
Commercial: 
1524 W 6th Avenue
Vancouver, BC</t>
    </r>
  </si>
  <si>
    <r>
      <t xml:space="preserve">THE HAMILTON
</t>
    </r>
    <r>
      <rPr>
        <sz val="9"/>
        <color theme="1"/>
        <rFont val="Calibri"/>
        <family val="2"/>
        <scheme val="minor"/>
      </rPr>
      <t>8750 University Crescent
Burnaby, B.C.
V5A 0G9</t>
    </r>
  </si>
  <si>
    <t>EPS9151</t>
  </si>
  <si>
    <t>General Manager - Harald Kurtzke
gm.richmond@executivehotels.net
Office: 604-278-5555
Assistant General Manager - Ramy Agaiby 
agm.richmond@executivehotels.net
Direct: 604-207-7158 / Cell: 778-979-1568
Maintenance Manager - Saeid Pordel
chiefengineer.rmd@executivehotels.net
Office: 604-278-5555/ Cell: 604-721-1864</t>
  </si>
  <si>
    <t>DC/EL
Olivia is admin</t>
  </si>
  <si>
    <t>Day Time  Concierge : 604-551-1825
After Hours Concierge: 604-364-9921 
wordsworth.concierge@rservice.ca</t>
  </si>
  <si>
    <t>DIAMOND CLUB 
diamondclub@ranchogroup.com
604-370-1707
John
604-789-6041 (do not give out)
john.ding@allbrightservices.ca (do not give out)
Company – Centrum
Phone – 604-272-3894</t>
  </si>
  <si>
    <t>Tuesday, July 28, 2026</t>
  </si>
  <si>
    <t>Saturday, August 1, 2026</t>
  </si>
  <si>
    <t xml:space="preserve">SC/TT
</t>
  </si>
  <si>
    <t xml:space="preserve">MC
</t>
  </si>
  <si>
    <t xml:space="preserve">AM
</t>
  </si>
  <si>
    <t>TN</t>
  </si>
  <si>
    <t>EPS2374</t>
  </si>
  <si>
    <t>183 Residential Units</t>
  </si>
  <si>
    <r>
      <t xml:space="preserve">LIDO
</t>
    </r>
    <r>
      <rPr>
        <sz val="9"/>
        <color theme="1"/>
        <rFont val="Calibri"/>
        <family val="2"/>
        <scheme val="minor"/>
      </rPr>
      <t>110 Switchmen Street
Vancouver, B.C. 
V6A 0C6</t>
    </r>
  </si>
  <si>
    <t>Friday, July 24, 2026</t>
  </si>
  <si>
    <t>Friday, July 31, 2026</t>
  </si>
  <si>
    <t>Monday, July 13, 2026</t>
  </si>
  <si>
    <t>Tuesday, July 7, 2026</t>
  </si>
  <si>
    <t>Saturday, July 25, 2026</t>
  </si>
  <si>
    <t>Sunday, July 19, 2026</t>
  </si>
  <si>
    <t>Thursday, July 16, 2026</t>
  </si>
  <si>
    <t>Thursday, July 9, 2026</t>
  </si>
  <si>
    <t>Thursday, July 23, 2026</t>
  </si>
  <si>
    <t>Wednesday, July 29, 2026</t>
  </si>
  <si>
    <t>Thursday, July 2, 2026</t>
  </si>
  <si>
    <t>Sunday, July 12, 2026</t>
  </si>
  <si>
    <t>Friday, July 3, 2026</t>
  </si>
  <si>
    <t xml:space="preserve">HB
</t>
  </si>
  <si>
    <t xml:space="preserve">JT/AL
Alyanna is admin
</t>
  </si>
  <si>
    <t>Building Manager:
Alfredo Castaneda
Cell: 604-790-0251
localonlonsdale@rservice.ca</t>
  </si>
  <si>
    <t>Building Manager:
Asib Nikju
patinamanager@gmail.com 
Concierge: Simran
patinaconcierge@gmail.com 
778-899-1252 (do not give out)</t>
  </si>
  <si>
    <t>Saturday, July 11, 2026</t>
  </si>
  <si>
    <r>
      <t xml:space="preserve">THE SPOT RENTAL HOUSING 
</t>
    </r>
    <r>
      <rPr>
        <sz val="9"/>
        <rFont val="Calibri"/>
        <family val="2"/>
        <scheme val="minor"/>
      </rPr>
      <t>481, 483, 485, 487, 489, 491, 493 &amp; 495 W. 13TH AVENUE
VANCOUVER, BC</t>
    </r>
  </si>
  <si>
    <t>Wednesday, February 11, 2026</t>
  </si>
  <si>
    <t>Building Manager 
Kuljeet Kaur
chartwellmewscaretaker@gmail.com
236-971-4369
Working Hours: Mon to Fri 8am to 2pm
caretaker@kellyboy.ca(DO NOT GIVE)</t>
  </si>
  <si>
    <t>Thursday, August 20, 2026</t>
  </si>
  <si>
    <t>Thursday, August 6, 2026</t>
  </si>
  <si>
    <t xml:space="preserve">Building Manager:
Yanni Wong
Monday to Friday
604-728-1964
redbrickstrata@rservice.ca
</t>
  </si>
  <si>
    <t>Friday, August 21, 2026</t>
  </si>
  <si>
    <r>
      <t xml:space="preserve">GRIZZLY RIDGE
</t>
    </r>
    <r>
      <rPr>
        <sz val="9"/>
        <color theme="1"/>
        <rFont val="Calibri"/>
        <family val="2"/>
        <scheme val="minor"/>
      </rPr>
      <t>60 Grizzly Ridge Trail 
Big White, B.C. 
V1P 1T4</t>
    </r>
  </si>
  <si>
    <t>KAS3742</t>
  </si>
  <si>
    <t>Big White, BC</t>
  </si>
  <si>
    <t>Financial Only Contract</t>
  </si>
  <si>
    <t>Wednesday, June 24, 2026</t>
  </si>
  <si>
    <t>Wednesday, August 12, 2026</t>
  </si>
  <si>
    <t>$300 move fee, 
covering move in and out </t>
  </si>
  <si>
    <t>Prabhjot Kaur
Phone: +1 (604) 367-8193
Email: buildingmanager@alliancecleans.com
Working hours: 8:00AM-4:00PM, Monday-Friday</t>
  </si>
  <si>
    <t>Tuesday, August 11, 2026</t>
  </si>
  <si>
    <t>Building Caretaker: 
John Paul Ojeda
236-333-7046 (Ok to give out)
element2@rservice.ca</t>
  </si>
  <si>
    <t>AL
Admin is Peter Lam</t>
  </si>
  <si>
    <t>AL
Peter Lam is Admin</t>
  </si>
  <si>
    <t>Monday, August 31, 2026</t>
  </si>
  <si>
    <r>
      <t xml:space="preserve">2655 King George Blvd
</t>
    </r>
    <r>
      <rPr>
        <sz val="9"/>
        <color theme="1"/>
        <rFont val="Calibri"/>
        <family val="2"/>
        <scheme val="minor"/>
      </rPr>
      <t xml:space="preserve">2640 152 St Surrey
V4P 1M8
Surrey, B.C. </t>
    </r>
    <r>
      <rPr>
        <b/>
        <sz val="9"/>
        <color theme="1"/>
        <rFont val="Calibri"/>
        <family val="2"/>
        <scheme val="minor"/>
      </rPr>
      <t xml:space="preserve">
</t>
    </r>
    <r>
      <rPr>
        <sz val="9"/>
        <color theme="1"/>
        <rFont val="Calibri"/>
        <family val="2"/>
        <scheme val="minor"/>
      </rPr>
      <t>V4P 1H7</t>
    </r>
  </si>
  <si>
    <r>
      <t xml:space="preserve">SLATE
</t>
    </r>
    <r>
      <rPr>
        <sz val="9"/>
        <color theme="1"/>
        <rFont val="Calibri"/>
        <family val="2"/>
        <scheme val="minor"/>
      </rPr>
      <t>2135 Springer Avenue 
Burnaby B.C. 
V5B 0C1</t>
    </r>
  </si>
  <si>
    <t>Tuesday, September 1, 2026</t>
  </si>
  <si>
    <t>Saturday, August 15, 2026</t>
  </si>
  <si>
    <t>Tuesday, August 18, 2026</t>
  </si>
  <si>
    <t>Wednesday, August 26, 2026</t>
  </si>
  <si>
    <t>Sunday, August 9, 2026</t>
  </si>
  <si>
    <t>Friday, August 7, 2026</t>
  </si>
  <si>
    <t>Friday, August 28, 2026</t>
  </si>
  <si>
    <t>Monday, August 17, 2026</t>
  </si>
  <si>
    <t>Monday, August 10, 2026</t>
  </si>
  <si>
    <r>
      <t xml:space="preserve">TERRACES ON 7TH DEVELOPMENT CORPORATION
</t>
    </r>
    <r>
      <rPr>
        <sz val="9"/>
        <color theme="1"/>
        <rFont val="Calibri"/>
        <family val="2"/>
        <scheme val="minor"/>
      </rPr>
      <t>Section B – 1530 West 7th Avenue
Section C – 1550 West 7th Avenue
Vancouver, BC
V6J 1S2</t>
    </r>
  </si>
  <si>
    <t>TL/AM</t>
  </si>
  <si>
    <t>5232
NLM as of May 31, 2026
Self-Managed by Owner</t>
  </si>
  <si>
    <t>HC</t>
  </si>
  <si>
    <t>JA</t>
  </si>
  <si>
    <t>Monday, September 7, 2026</t>
  </si>
  <si>
    <t>Building Manager 
Pete Duchesne
Email: pduchesne@allbrightservices.ca
Cell: 604-802-7150
Daniel Mota 
dmota@mintclean.ca</t>
  </si>
  <si>
    <r>
      <t xml:space="preserve">PARK PLACE - COMMERCIAL 
</t>
    </r>
    <r>
      <rPr>
        <sz val="9"/>
        <color indexed="60"/>
        <rFont val="Calibri"/>
        <family val="2"/>
      </rPr>
      <t>9908 King George Blvd.
13678 100 Avenue
Surrey, BC</t>
    </r>
  </si>
  <si>
    <r>
      <t xml:space="preserve">PARK PLACE - JOINT
</t>
    </r>
    <r>
      <rPr>
        <sz val="9"/>
        <color rgb="FFC00000"/>
        <rFont val="Calibri"/>
        <family val="2"/>
        <scheme val="minor"/>
      </rPr>
      <t>Residential</t>
    </r>
    <r>
      <rPr>
        <b/>
        <sz val="9"/>
        <color rgb="FFC00000"/>
        <rFont val="Calibri"/>
        <family val="2"/>
        <scheme val="minor"/>
      </rPr>
      <t xml:space="preserve">
</t>
    </r>
    <r>
      <rPr>
        <sz val="9"/>
        <color indexed="60"/>
        <rFont val="Calibri"/>
        <family val="2"/>
      </rPr>
      <t xml:space="preserve">One Park Place – 13688 – 100th Ave V3T 0G5
Two Park Place – 9981 Whalley Boulevard V3T 0G6
Surrey, BC
</t>
    </r>
    <r>
      <rPr>
        <b/>
        <sz val="9"/>
        <color rgb="FFC00000"/>
        <rFont val="Calibri"/>
        <family val="2"/>
        <scheme val="minor"/>
      </rPr>
      <t xml:space="preserve">
</t>
    </r>
    <r>
      <rPr>
        <sz val="9"/>
        <color rgb="FFC00000"/>
        <rFont val="Calibri"/>
        <family val="2"/>
        <scheme val="minor"/>
      </rPr>
      <t>Commercial
9908 King George Blvd.
13678 100 Ave.
Surrey, BC</t>
    </r>
  </si>
  <si>
    <t>Concierge: Shawn D.
604-771-2522
cplaza438seymour@gmail.com.
Bdlg Mgr: Shawn D.
(604) 328-7723
bms.cplaza@gmail.com</t>
  </si>
  <si>
    <t>Siman Kaur
citycorners@rservice.ca
604-992-2348</t>
  </si>
  <si>
    <t>Temporary Building Manager
Lidia Lazar
June 22 – August 21
Telephone: 604-813-1564
Email: bcs282.perla@gmail.com
Office Hours: 2:00 p.m. - 4:00 p.m.
On Site Hours:
Monday to Friday
9:00 a.m. to 5:00 p.m.
Strata Agent Open Office Hour: 
Every month in 1st and 3rd Wednesday Afternoon
3 p.m. - 5 p.m</t>
  </si>
  <si>
    <t>Concierge: 24 Hours - Head Concierge: Twinkle Patel
gilmore1concierge@rservice.ca 
tel: 672-336-9306
Club Gilmore Concierge Email:
Twinkle: clubattendant@clubgilmore.com 
Building Manager: 
Cam: 604-966-8660
gilmore1bm@rservice.ca
maintenance@clubgilmore.com</t>
  </si>
  <si>
    <t xml:space="preserve"> Club Gilmore Concierge Email:
Twinkle: clubsupervisor@clubgilmore.com</t>
  </si>
  <si>
    <t>Concierge: 24 Hours - Head Concierge: Manik
gilmore2concierge@rservice.ca 
604-363-8920
Club Gilmore Concierge Email:
Twinkle: clubattendant@clubgilmore.com 
Building Manager: Nicole
gilmore2bm@rservice.ca 
604-786-6683</t>
  </si>
  <si>
    <t>Concierge email: pierwestconcierge@rservice.ca
tel: 236-558-8732
Head Concierge: Palvinder Kaur
Building Manager: Luis Campos
tel: 236-558-9811</t>
  </si>
  <si>
    <t>Concierge email: pierwesteastconcierge@rservice.ca
tel: 604-376-7249
Head Concierge: Saahil Dhawann
Building Manager: Luis Campos
tel: 236-558-9811</t>
  </si>
  <si>
    <r>
      <t xml:space="preserve">5325
</t>
    </r>
    <r>
      <rPr>
        <b/>
        <sz val="9"/>
        <color rgb="FFFF0000"/>
        <rFont val="Calibri"/>
        <family val="2"/>
        <scheme val="minor"/>
      </rPr>
      <t>NLM as of June 15,2026</t>
    </r>
    <r>
      <rPr>
        <b/>
        <sz val="9"/>
        <rFont val="Calibri"/>
        <family val="2"/>
        <scheme val="minor"/>
      </rPr>
      <t xml:space="preserve">
5325-1 (Tower 1, 9500 Odlin)
5325-2 (Tower 2, 9399 Tomicki)
</t>
    </r>
  </si>
  <si>
    <t xml:space="preserve">BL/TL
(BL's Admin)
</t>
  </si>
  <si>
    <r>
      <t xml:space="preserve">5822
</t>
    </r>
    <r>
      <rPr>
        <b/>
        <sz val="9"/>
        <color rgb="FFFF0000"/>
        <rFont val="Calibri"/>
        <family val="2"/>
        <scheme val="minor"/>
      </rPr>
      <t>NLM as of July 1, 2026
Candid Management Group</t>
    </r>
  </si>
  <si>
    <t xml:space="preserve">
Building Manager:Eduardo Monroy/Ileana Valdez
Five Star
604-250-9217
emporio@rservice.ca
Monday to Friday
8:30 a.m. to 4:30 p.m.
After Hours
Alltek Patrol Corporation
Phone: 778-861-7599
Monday to Sunday
8:00 p.m. to 6:00 a.m.</t>
  </si>
  <si>
    <t>ARTESIA COST SHARE</t>
  </si>
  <si>
    <t>July 1st 2027</t>
  </si>
  <si>
    <t>AL
(PL is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</si>
</sst>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409]d\-mmm;@"/>
    <numFmt numFmtId="166" formatCode="[$-409]d\-mmm\-yy;@"/>
    <numFmt numFmtId="167" formatCode="[$-F800]dddd\,\ mmmm\ dd\,\ yyyy"/>
    <numFmt numFmtId="168" formatCode="[$-409]d\-mmm\-yyyy;@"/>
    <numFmt numFmtId="169" formatCode="[$-409]mmmm\ d\,\ yyyy;@"/>
  </numFmts>
  <fonts count="86" x14ac:knownFonts="1">
    <font>
      <sz val="11"/>
      <color theme="1"/>
      <name val="Calibri"/>
      <family val="2"/>
      <scheme val="minor"/>
    </font>
    <font>
      <sz val="11"/>
      <color rgb="FFFF0000"/>
      <name val="Calibri"/>
      <family val="2"/>
      <scheme val="minor"/>
    </font>
    <font>
      <b/>
      <sz val="10"/>
      <name val="Calibri"/>
      <family val="2"/>
      <scheme val="minor"/>
    </font>
    <font>
      <b/>
      <sz val="9"/>
      <name val="Calibri"/>
      <family val="2"/>
      <scheme val="minor"/>
    </font>
    <font>
      <sz val="9"/>
      <color theme="1"/>
      <name val="Calibri"/>
      <family val="2"/>
      <scheme val="minor"/>
    </font>
    <font>
      <b/>
      <sz val="11"/>
      <color rgb="FFFF0000"/>
      <name val="Calibri"/>
      <family val="2"/>
      <scheme val="minor"/>
    </font>
    <font>
      <b/>
      <sz val="11"/>
      <name val="Calibri"/>
      <family val="2"/>
      <scheme val="minor"/>
    </font>
    <font>
      <b/>
      <sz val="11"/>
      <color theme="4"/>
      <name val="Calibri"/>
      <family val="2"/>
      <scheme val="minor"/>
    </font>
    <font>
      <sz val="11"/>
      <name val="Calibri"/>
      <family val="2"/>
      <scheme val="minor"/>
    </font>
    <font>
      <sz val="9"/>
      <name val="Calibri"/>
      <family val="2"/>
      <scheme val="minor"/>
    </font>
    <font>
      <sz val="9"/>
      <name val="Calibri"/>
      <family val="2"/>
    </font>
    <font>
      <b/>
      <sz val="9"/>
      <name val="Calibri"/>
      <family val="2"/>
    </font>
    <font>
      <b/>
      <sz val="9"/>
      <color rgb="FFC00000"/>
      <name val="Calibri"/>
      <family val="2"/>
      <scheme val="minor"/>
    </font>
    <font>
      <sz val="9"/>
      <color indexed="60"/>
      <name val="Calibri"/>
      <family val="2"/>
    </font>
    <font>
      <b/>
      <sz val="9"/>
      <color indexed="60"/>
      <name val="Calibri"/>
      <family val="2"/>
    </font>
    <font>
      <sz val="9"/>
      <color rgb="FFC00000"/>
      <name val="Calibri"/>
      <family val="2"/>
      <scheme val="minor"/>
    </font>
    <font>
      <sz val="9"/>
      <color rgb="FFFF0000"/>
      <name val="Calibri"/>
      <family val="2"/>
      <scheme val="minor"/>
    </font>
    <font>
      <b/>
      <sz val="9"/>
      <color rgb="FFFF0000"/>
      <name val="Calibri"/>
      <family val="2"/>
      <scheme val="minor"/>
    </font>
    <font>
      <sz val="9"/>
      <color rgb="FFFF0000"/>
      <name val="Calibri"/>
      <family val="2"/>
    </font>
    <font>
      <b/>
      <sz val="9"/>
      <color rgb="FFFF0000"/>
      <name val="Calibri"/>
      <family val="2"/>
    </font>
    <font>
      <sz val="9"/>
      <color indexed="10"/>
      <name val="Calibri"/>
      <family val="2"/>
    </font>
    <font>
      <b/>
      <sz val="9"/>
      <color indexed="10"/>
      <name val="Calibri"/>
      <family val="2"/>
    </font>
    <font>
      <sz val="9"/>
      <color indexed="8"/>
      <name val="Calibri"/>
      <family val="2"/>
      <scheme val="minor"/>
    </font>
    <font>
      <b/>
      <sz val="9"/>
      <color theme="1"/>
      <name val="Calibri"/>
      <family val="2"/>
      <scheme val="minor"/>
    </font>
    <font>
      <sz val="9"/>
      <color indexed="8"/>
      <name val="Calibri"/>
      <family val="2"/>
    </font>
    <font>
      <sz val="11"/>
      <color theme="3" tint="0.39997558519241921"/>
      <name val="Calibri"/>
      <family val="2"/>
      <scheme val="minor"/>
    </font>
    <font>
      <b/>
      <sz val="9"/>
      <color rgb="FF0070C0"/>
      <name val="Calibri"/>
      <family val="2"/>
      <scheme val="minor"/>
    </font>
    <font>
      <sz val="9"/>
      <color indexed="30"/>
      <name val="Calibri"/>
      <family val="2"/>
    </font>
    <font>
      <sz val="9"/>
      <color rgb="FF0070C0"/>
      <name val="Calibri"/>
      <family val="2"/>
      <scheme val="minor"/>
    </font>
    <font>
      <b/>
      <i/>
      <sz val="9"/>
      <name val="Calibri"/>
      <family val="2"/>
    </font>
    <font>
      <b/>
      <sz val="9"/>
      <color indexed="30"/>
      <name val="Calibri"/>
      <family val="2"/>
    </font>
    <font>
      <sz val="11"/>
      <color theme="4"/>
      <name val="Calibri"/>
      <family val="2"/>
      <scheme val="minor"/>
    </font>
    <font>
      <sz val="10"/>
      <name val="Calibri"/>
      <family val="2"/>
      <scheme val="minor"/>
    </font>
    <font>
      <sz val="10"/>
      <name val="Arial"/>
      <family val="2"/>
    </font>
    <font>
      <sz val="11"/>
      <color theme="3"/>
      <name val="Calibri"/>
      <family val="2"/>
      <scheme val="minor"/>
    </font>
    <font>
      <b/>
      <sz val="9"/>
      <color theme="4"/>
      <name val="Calibri"/>
      <family val="2"/>
      <scheme val="minor"/>
    </font>
    <font>
      <sz val="9"/>
      <color theme="4"/>
      <name val="Calibri"/>
      <family val="2"/>
    </font>
    <font>
      <b/>
      <sz val="9"/>
      <color theme="4"/>
      <name val="Calibri"/>
      <family val="2"/>
    </font>
    <font>
      <sz val="9"/>
      <color theme="4"/>
      <name val="Calibri"/>
      <family val="2"/>
      <scheme val="minor"/>
    </font>
    <font>
      <sz val="7"/>
      <name val="Calibri"/>
      <family val="2"/>
      <scheme val="minor"/>
    </font>
    <font>
      <b/>
      <sz val="9"/>
      <color theme="3" tint="0.39997558519241921"/>
      <name val="Calibri"/>
      <family val="2"/>
      <scheme val="minor"/>
    </font>
    <font>
      <sz val="9"/>
      <color theme="3" tint="0.39997558519241921"/>
      <name val="Calibri"/>
      <family val="2"/>
      <scheme val="minor"/>
    </font>
    <font>
      <sz val="9"/>
      <color theme="1"/>
      <name val="Calibri"/>
      <family val="2"/>
    </font>
    <font>
      <b/>
      <sz val="9"/>
      <color theme="1"/>
      <name val="Calibri"/>
      <family val="2"/>
    </font>
    <font>
      <b/>
      <sz val="9"/>
      <color theme="3" tint="0.39997558519241921"/>
      <name val="Calibri"/>
      <family val="2"/>
    </font>
    <font>
      <sz val="9"/>
      <color theme="3" tint="0.39997558519241921"/>
      <name val="Calibri"/>
      <family val="2"/>
    </font>
    <font>
      <b/>
      <sz val="9"/>
      <color indexed="81"/>
      <name val="Tahoma"/>
      <family val="2"/>
    </font>
    <font>
      <sz val="9"/>
      <color indexed="81"/>
      <name val="Tahoma"/>
      <family val="2"/>
    </font>
    <font>
      <b/>
      <sz val="11"/>
      <name val="Calibri"/>
      <family val="2"/>
    </font>
    <font>
      <sz val="11"/>
      <name val="Calibri"/>
      <family val="2"/>
    </font>
    <font>
      <b/>
      <u/>
      <sz val="11"/>
      <name val="Calibri"/>
      <family val="2"/>
      <scheme val="minor"/>
    </font>
    <font>
      <sz val="11"/>
      <color indexed="30"/>
      <name val="Calibri"/>
      <family val="2"/>
    </font>
    <font>
      <sz val="11"/>
      <color indexed="10"/>
      <name val="Calibri"/>
      <family val="2"/>
    </font>
    <font>
      <b/>
      <sz val="11"/>
      <color rgb="FFC00000"/>
      <name val="Calibri"/>
      <family val="2"/>
      <scheme val="minor"/>
    </font>
    <font>
      <sz val="11"/>
      <color indexed="60"/>
      <name val="Calibri"/>
      <family val="2"/>
      <scheme val="minor"/>
    </font>
    <font>
      <b/>
      <sz val="11"/>
      <color indexed="60"/>
      <name val="Calibri"/>
      <family val="2"/>
    </font>
    <font>
      <sz val="11"/>
      <color indexed="60"/>
      <name val="Calibri"/>
      <family val="2"/>
    </font>
    <font>
      <sz val="11"/>
      <color rgb="FFC00000"/>
      <name val="Calibri"/>
      <family val="2"/>
      <scheme val="minor"/>
    </font>
    <font>
      <b/>
      <sz val="11"/>
      <color rgb="FF0070C0"/>
      <name val="Calibri"/>
      <family val="2"/>
      <scheme val="minor"/>
    </font>
    <font>
      <sz val="11"/>
      <color rgb="FF0070C0"/>
      <name val="Calibri"/>
      <family val="2"/>
      <scheme val="minor"/>
    </font>
    <font>
      <sz val="11"/>
      <color rgb="FF0070C0"/>
      <name val="Arial"/>
      <family val="2"/>
    </font>
    <font>
      <b/>
      <sz val="11"/>
      <color indexed="10"/>
      <name val="Calibri"/>
      <family val="2"/>
    </font>
    <font>
      <sz val="11"/>
      <color theme="4"/>
      <name val="Calibri"/>
      <family val="2"/>
    </font>
    <font>
      <sz val="11"/>
      <name val="Arial"/>
      <family val="2"/>
    </font>
    <font>
      <b/>
      <sz val="20"/>
      <name val="Calibri"/>
      <family val="2"/>
      <scheme val="minor"/>
    </font>
    <font>
      <sz val="10"/>
      <name val="Arial"/>
      <family val="2"/>
    </font>
    <font>
      <u/>
      <sz val="9"/>
      <color theme="1"/>
      <name val="Calibri"/>
      <family val="2"/>
      <scheme val="minor"/>
    </font>
    <font>
      <i/>
      <sz val="9"/>
      <color theme="1"/>
      <name val="Calibri"/>
      <family val="2"/>
      <scheme val="minor"/>
    </font>
    <font>
      <b/>
      <sz val="9"/>
      <color theme="8" tint="-0.249977111117893"/>
      <name val="Calibri"/>
      <family val="2"/>
      <scheme val="minor"/>
    </font>
    <font>
      <sz val="9"/>
      <color theme="8" tint="-0.249977111117893"/>
      <name val="Calibri"/>
      <family val="2"/>
      <scheme val="minor"/>
    </font>
    <font>
      <sz val="9"/>
      <color indexed="10"/>
      <name val="Calibri"/>
      <family val="2"/>
      <scheme val="minor"/>
    </font>
    <font>
      <sz val="7"/>
      <color rgb="FFC00000"/>
      <name val="Calibri"/>
      <family val="2"/>
      <scheme val="minor"/>
    </font>
    <font>
      <sz val="7"/>
      <color theme="1"/>
      <name val="Calibri"/>
      <family val="2"/>
      <scheme val="minor"/>
    </font>
    <font>
      <sz val="8"/>
      <name val="Calibri"/>
      <family val="2"/>
      <scheme val="minor"/>
    </font>
    <font>
      <i/>
      <sz val="9"/>
      <name val="Calibri"/>
      <family val="2"/>
      <scheme val="minor"/>
    </font>
    <font>
      <sz val="9"/>
      <color rgb="FF0070C0"/>
      <name val="Calibri"/>
      <family val="2"/>
    </font>
    <font>
      <sz val="9"/>
      <color rgb="FFC00000"/>
      <name val="Calibri"/>
      <family val="2"/>
    </font>
    <font>
      <sz val="9"/>
      <color theme="8" tint="-0.249977111117893"/>
      <name val="Calibri"/>
      <family val="2"/>
    </font>
    <font>
      <b/>
      <sz val="11"/>
      <color theme="1"/>
      <name val="Calibri"/>
      <family val="2"/>
      <scheme val="minor"/>
    </font>
    <font>
      <b/>
      <i/>
      <sz val="9"/>
      <name val="Calibri"/>
      <family val="2"/>
      <scheme val="minor"/>
    </font>
    <font>
      <sz val="9"/>
      <color rgb="FF000000"/>
      <name val="Calibri"/>
      <family val="2"/>
    </font>
    <font>
      <sz val="11"/>
      <color rgb="FF000000"/>
      <name val="Calibri"/>
      <family val="2"/>
      <scheme val="minor"/>
    </font>
    <font>
      <sz val="9"/>
      <color rgb="FF000000"/>
      <name val="Calibri"/>
      <family val="2"/>
      <scheme val="minor"/>
    </font>
    <font>
      <b/>
      <sz val="11"/>
      <color rgb="FF3F3F3F"/>
      <name val="Calibri"/>
      <family val="2"/>
      <scheme val="minor"/>
    </font>
    <font>
      <sz val="9"/>
      <color rgb="FF3F3F3F"/>
      <name val="Calibri"/>
      <family val="2"/>
      <scheme val="minor"/>
    </font>
    <font>
      <b/>
      <sz val="9"/>
      <color rgb="FF3F3F3F"/>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tint="-0.499984740745262"/>
        <bgColor indexed="64"/>
      </patternFill>
    </fill>
    <fill>
      <patternFill patternType="solid">
        <fgColor theme="0"/>
        <bgColor indexed="64"/>
      </patternFill>
    </fill>
    <fill>
      <patternFill patternType="solid">
        <fgColor indexed="45"/>
        <bgColor indexed="64"/>
      </patternFill>
    </fill>
    <fill>
      <patternFill patternType="solid">
        <fgColor theme="6"/>
        <bgColor theme="6"/>
      </patternFill>
    </fill>
    <fill>
      <patternFill patternType="solid">
        <fgColor theme="6" tint="0.79998168889431442"/>
        <bgColor theme="6" tint="0.79998168889431442"/>
      </patternFill>
    </fill>
    <fill>
      <patternFill patternType="solid">
        <fgColor theme="0"/>
        <bgColor theme="6" tint="0.79998168889431442"/>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2"/>
        <bgColor theme="6" tint="0.79998168889431442"/>
      </patternFill>
    </fill>
    <fill>
      <patternFill patternType="solid">
        <fgColor theme="2"/>
        <bgColor indexed="64"/>
      </patternFill>
    </fill>
    <fill>
      <patternFill patternType="solid">
        <fgColor rgb="FFF2F2F2"/>
      </patternFill>
    </fill>
    <fill>
      <patternFill patternType="solid">
        <fgColor rgb="FFFFFF00"/>
        <bgColor theme="6" tint="0.79998168889431442"/>
      </patternFill>
    </fill>
    <fill>
      <patternFill patternType="solid">
        <fgColor theme="0" tint="-4.9989318521683403E-2"/>
        <bgColor theme="6" tint="0.79998168889431442"/>
      </patternFill>
    </fill>
    <fill>
      <patternFill patternType="solid">
        <fgColor theme="0"/>
        <bgColor rgb="FFEDEDED"/>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bottom style="thin">
        <color rgb="FF3F3F3F"/>
      </bottom>
      <diagonal/>
    </border>
  </borders>
  <cellStyleXfs count="8">
    <xf numFmtId="0" fontId="0" fillId="0" borderId="0"/>
    <xf numFmtId="0" fontId="65" fillId="0" borderId="0"/>
    <xf numFmtId="44" fontId="65" fillId="0" borderId="0" applyFont="0" applyFill="0" applyBorder="0" applyAlignment="0" applyProtection="0"/>
    <xf numFmtId="0" fontId="33" fillId="0" borderId="0"/>
    <xf numFmtId="44" fontId="33" fillId="0" borderId="0" applyFont="0" applyFill="0" applyBorder="0" applyAlignment="0" applyProtection="0"/>
    <xf numFmtId="0" fontId="33" fillId="0" borderId="0"/>
    <xf numFmtId="44" fontId="33" fillId="0" borderId="0" applyFont="0" applyFill="0" applyBorder="0" applyAlignment="0" applyProtection="0"/>
    <xf numFmtId="0" fontId="83" fillId="13" borderId="6" applyNumberFormat="0" applyAlignment="0" applyProtection="0"/>
  </cellStyleXfs>
  <cellXfs count="970">
    <xf numFmtId="0" fontId="0" fillId="0" borderId="0" xfId="0"/>
    <xf numFmtId="0" fontId="8" fillId="0" borderId="0" xfId="0" applyFont="1"/>
    <xf numFmtId="0" fontId="3" fillId="0" borderId="1" xfId="0" applyFont="1" applyBorder="1" applyAlignment="1">
      <alignment horizontal="center" vertical="top" wrapText="1"/>
    </xf>
    <xf numFmtId="0" fontId="3" fillId="0" borderId="1" xfId="0" applyFont="1" applyBorder="1" applyAlignment="1">
      <alignment horizontal="center" vertical="top"/>
    </xf>
    <xf numFmtId="0" fontId="9" fillId="0" borderId="1" xfId="0" applyFont="1" applyBorder="1" applyAlignment="1">
      <alignment horizontal="center" vertical="top"/>
    </xf>
    <xf numFmtId="0" fontId="9" fillId="0" borderId="1" xfId="0" applyFont="1" applyBorder="1" applyAlignment="1">
      <alignment horizontal="center" vertical="center"/>
    </xf>
    <xf numFmtId="167" fontId="9" fillId="0" borderId="1" xfId="0" applyNumberFormat="1" applyFont="1" applyBorder="1" applyAlignment="1">
      <alignment horizontal="center" vertical="top"/>
    </xf>
    <xf numFmtId="164" fontId="9" fillId="0" borderId="1" xfId="0" applyNumberFormat="1" applyFont="1" applyBorder="1" applyAlignment="1">
      <alignment horizontal="center" vertical="top"/>
    </xf>
    <xf numFmtId="166" fontId="4" fillId="0" borderId="1" xfId="0" applyNumberFormat="1" applyFont="1" applyBorder="1" applyAlignment="1">
      <alignment horizontal="center" vertical="top"/>
    </xf>
    <xf numFmtId="0" fontId="1" fillId="0" borderId="0" xfId="0" applyFont="1"/>
    <xf numFmtId="0" fontId="10" fillId="0" borderId="1" xfId="0" applyFont="1" applyBorder="1" applyAlignment="1">
      <alignment horizontal="center" vertical="top" wrapText="1"/>
    </xf>
    <xf numFmtId="0" fontId="9" fillId="0" borderId="1" xfId="0" applyFont="1" applyBorder="1" applyAlignment="1">
      <alignment horizontal="center" vertical="top" wrapText="1"/>
    </xf>
    <xf numFmtId="15" fontId="9" fillId="0" borderId="1" xfId="0" applyNumberFormat="1" applyFont="1" applyBorder="1" applyAlignment="1">
      <alignment horizontal="center" vertical="top"/>
    </xf>
    <xf numFmtId="164" fontId="9" fillId="0" borderId="1" xfId="0" applyNumberFormat="1" applyFont="1" applyBorder="1" applyAlignment="1">
      <alignment horizontal="center" vertical="top" wrapText="1"/>
    </xf>
    <xf numFmtId="165" fontId="9" fillId="0" borderId="1" xfId="0" applyNumberFormat="1" applyFont="1" applyBorder="1" applyAlignment="1">
      <alignment horizontal="center" vertical="top"/>
    </xf>
    <xf numFmtId="166" fontId="9" fillId="0" borderId="1" xfId="0" applyNumberFormat="1" applyFont="1" applyBorder="1" applyAlignment="1">
      <alignment horizontal="center" vertical="top"/>
    </xf>
    <xf numFmtId="16" fontId="4" fillId="0" borderId="1" xfId="0" applyNumberFormat="1" applyFont="1" applyBorder="1" applyAlignment="1">
      <alignment horizontal="center" vertical="top"/>
    </xf>
    <xf numFmtId="0" fontId="4" fillId="0" borderId="1" xfId="0" applyFont="1" applyBorder="1" applyAlignment="1">
      <alignment horizontal="center" vertical="center"/>
    </xf>
    <xf numFmtId="167" fontId="9" fillId="0" borderId="1" xfId="0" quotePrefix="1" applyNumberFormat="1" applyFont="1" applyBorder="1" applyAlignment="1">
      <alignment horizontal="center" vertical="top"/>
    </xf>
    <xf numFmtId="167" fontId="9" fillId="0" borderId="1" xfId="0" applyNumberFormat="1" applyFont="1" applyBorder="1" applyAlignment="1">
      <alignment horizontal="center" vertical="top" wrapText="1"/>
    </xf>
    <xf numFmtId="0" fontId="9" fillId="0" borderId="1" xfId="0" applyFont="1" applyBorder="1" applyAlignment="1">
      <alignment horizontal="center" vertical="center" wrapText="1"/>
    </xf>
    <xf numFmtId="15" fontId="3" fillId="0" borderId="1" xfId="0" applyNumberFormat="1" applyFont="1" applyBorder="1" applyAlignment="1">
      <alignment horizontal="center" vertical="top"/>
    </xf>
    <xf numFmtId="0" fontId="0" fillId="0" borderId="1" xfId="0" applyBorder="1"/>
    <xf numFmtId="0" fontId="3" fillId="0" borderId="1" xfId="0" quotePrefix="1" applyFont="1" applyBorder="1" applyAlignment="1">
      <alignment horizontal="center" vertical="top" wrapText="1"/>
    </xf>
    <xf numFmtId="0" fontId="31" fillId="0" borderId="0" xfId="0" applyFont="1"/>
    <xf numFmtId="0" fontId="17" fillId="0" borderId="1" xfId="0" quotePrefix="1" applyFont="1" applyBorder="1" applyAlignment="1">
      <alignment horizontal="center" vertical="top" wrapText="1"/>
    </xf>
    <xf numFmtId="15" fontId="4" fillId="0" borderId="1" xfId="0" applyNumberFormat="1" applyFont="1" applyBorder="1" applyAlignment="1">
      <alignment horizontal="center" vertical="top"/>
    </xf>
    <xf numFmtId="16" fontId="0" fillId="0" borderId="1" xfId="0" applyNumberFormat="1" applyBorder="1" applyAlignment="1">
      <alignment horizontal="center" vertical="top"/>
    </xf>
    <xf numFmtId="166" fontId="0" fillId="0" borderId="1" xfId="0" applyNumberFormat="1" applyBorder="1" applyAlignment="1">
      <alignment horizontal="center" vertical="top"/>
    </xf>
    <xf numFmtId="0" fontId="25" fillId="0" borderId="0" xfId="0" applyFont="1"/>
    <xf numFmtId="0" fontId="34" fillId="0" borderId="0" xfId="0" applyFont="1"/>
    <xf numFmtId="0" fontId="39" fillId="0" borderId="0" xfId="0" applyFont="1" applyAlignment="1">
      <alignment horizontal="center"/>
    </xf>
    <xf numFmtId="0" fontId="4" fillId="0" borderId="0" xfId="0" applyFont="1"/>
    <xf numFmtId="0" fontId="16" fillId="0" borderId="0" xfId="0" applyFont="1"/>
    <xf numFmtId="0" fontId="6" fillId="3" borderId="1" xfId="0" applyFont="1" applyFill="1" applyBorder="1" applyAlignment="1">
      <alignment horizontal="center"/>
    </xf>
    <xf numFmtId="0" fontId="6" fillId="3" borderId="1" xfId="0" applyFont="1" applyFill="1" applyBorder="1" applyAlignment="1">
      <alignment horizontal="center" wrapText="1"/>
    </xf>
    <xf numFmtId="164" fontId="6" fillId="3" borderId="1" xfId="0" applyNumberFormat="1" applyFont="1" applyFill="1" applyBorder="1" applyAlignment="1">
      <alignment horizontal="center" wrapText="1"/>
    </xf>
    <xf numFmtId="0" fontId="8" fillId="0" borderId="1" xfId="0" applyFont="1" applyBorder="1" applyAlignment="1">
      <alignment horizontal="center" vertical="top" wrapText="1"/>
    </xf>
    <xf numFmtId="0" fontId="8" fillId="4" borderId="1" xfId="0" applyFont="1" applyFill="1" applyBorder="1" applyAlignment="1">
      <alignment horizontal="center" vertical="top" wrapText="1"/>
    </xf>
    <xf numFmtId="0" fontId="8" fillId="0" borderId="1" xfId="0" applyFont="1" applyBorder="1" applyAlignment="1">
      <alignment horizontal="center" vertical="center" wrapText="1"/>
    </xf>
    <xf numFmtId="166" fontId="8" fillId="0" borderId="1" xfId="0" applyNumberFormat="1" applyFont="1" applyBorder="1" applyAlignment="1">
      <alignment horizontal="center" vertical="top" wrapText="1"/>
    </xf>
    <xf numFmtId="0" fontId="8" fillId="0" borderId="1" xfId="0" applyFont="1" applyBorder="1" applyAlignment="1">
      <alignment vertical="top"/>
    </xf>
    <xf numFmtId="166" fontId="8" fillId="0" borderId="1" xfId="0" quotePrefix="1" applyNumberFormat="1" applyFont="1" applyBorder="1" applyAlignment="1">
      <alignment horizontal="center" vertical="top" wrapText="1"/>
    </xf>
    <xf numFmtId="0" fontId="6" fillId="0" borderId="1" xfId="0" applyFont="1" applyBorder="1" applyAlignment="1">
      <alignment horizontal="center" vertical="top"/>
    </xf>
    <xf numFmtId="0" fontId="8" fillId="0" borderId="1" xfId="0" applyFont="1" applyBorder="1" applyAlignment="1">
      <alignment horizontal="center" vertical="top"/>
    </xf>
    <xf numFmtId="0" fontId="8" fillId="0" borderId="1" xfId="0" applyFont="1" applyBorder="1" applyAlignment="1">
      <alignment horizontal="center"/>
    </xf>
    <xf numFmtId="15" fontId="8" fillId="0" borderId="1" xfId="0" applyNumberFormat="1" applyFont="1" applyBorder="1" applyAlignment="1">
      <alignment horizontal="center" vertical="top"/>
    </xf>
    <xf numFmtId="17" fontId="8" fillId="0" borderId="1" xfId="0" applyNumberFormat="1" applyFont="1" applyBorder="1" applyAlignment="1">
      <alignment horizontal="center" vertical="top"/>
    </xf>
    <xf numFmtId="164" fontId="8" fillId="0" borderId="1" xfId="0" applyNumberFormat="1" applyFont="1" applyBorder="1" applyAlignment="1">
      <alignment horizontal="center" vertical="top" wrapText="1"/>
    </xf>
    <xf numFmtId="0" fontId="50" fillId="0" borderId="1" xfId="0" applyFont="1" applyBorder="1" applyAlignment="1">
      <alignment horizontal="center" vertical="center" wrapText="1"/>
    </xf>
    <xf numFmtId="164" fontId="8" fillId="0" borderId="1" xfId="0" applyNumberFormat="1" applyFont="1" applyBorder="1" applyAlignment="1">
      <alignment horizontal="center" vertical="top"/>
    </xf>
    <xf numFmtId="167" fontId="8" fillId="0" borderId="1" xfId="0" applyNumberFormat="1" applyFont="1" applyBorder="1" applyAlignment="1">
      <alignment horizontal="center" vertical="top"/>
    </xf>
    <xf numFmtId="0" fontId="6" fillId="0" borderId="1" xfId="0" applyFont="1" applyBorder="1" applyAlignment="1">
      <alignment horizontal="center" vertical="top" wrapText="1"/>
    </xf>
    <xf numFmtId="17" fontId="8" fillId="0" borderId="1" xfId="0" applyNumberFormat="1" applyFont="1" applyBorder="1" applyAlignment="1">
      <alignment horizontal="center" vertical="top" wrapText="1"/>
    </xf>
    <xf numFmtId="167" fontId="8" fillId="0" borderId="1" xfId="0" applyNumberFormat="1" applyFont="1" applyBorder="1" applyAlignment="1">
      <alignment horizontal="center" vertical="top" wrapText="1"/>
    </xf>
    <xf numFmtId="0" fontId="53" fillId="0" borderId="1" xfId="0" applyFont="1" applyBorder="1" applyAlignment="1">
      <alignment horizontal="center" vertical="top"/>
    </xf>
    <xf numFmtId="0" fontId="53" fillId="0" borderId="1" xfId="0" applyFont="1" applyBorder="1" applyAlignment="1">
      <alignment horizontal="center" vertical="top" wrapText="1"/>
    </xf>
    <xf numFmtId="0" fontId="54" fillId="0" borderId="1" xfId="0" applyFont="1" applyBorder="1" applyAlignment="1">
      <alignment horizontal="center" vertical="top" wrapText="1"/>
    </xf>
    <xf numFmtId="0" fontId="57" fillId="0" borderId="1" xfId="0" applyFont="1" applyBorder="1" applyAlignment="1">
      <alignment horizontal="center" vertical="top"/>
    </xf>
    <xf numFmtId="0" fontId="57" fillId="0" borderId="1" xfId="0" applyFont="1" applyBorder="1" applyAlignment="1">
      <alignment horizontal="center" vertical="top" wrapText="1"/>
    </xf>
    <xf numFmtId="15" fontId="57" fillId="0" borderId="1" xfId="0" applyNumberFormat="1" applyFont="1" applyBorder="1" applyAlignment="1">
      <alignment horizontal="center" vertical="top"/>
    </xf>
    <xf numFmtId="167" fontId="57" fillId="0" borderId="1" xfId="0" applyNumberFormat="1" applyFont="1" applyBorder="1" applyAlignment="1">
      <alignment horizontal="center" vertical="top"/>
    </xf>
    <xf numFmtId="164" fontId="57" fillId="0" borderId="1" xfId="0" applyNumberFormat="1" applyFont="1" applyBorder="1" applyAlignment="1">
      <alignment horizontal="center" vertical="top" wrapText="1"/>
    </xf>
    <xf numFmtId="0" fontId="57" fillId="0" borderId="1" xfId="0" applyFont="1" applyBorder="1" applyAlignment="1">
      <alignment horizontal="center"/>
    </xf>
    <xf numFmtId="15" fontId="6" fillId="0" borderId="1" xfId="0" applyNumberFormat="1" applyFont="1" applyBorder="1" applyAlignment="1">
      <alignment horizontal="center" vertical="top"/>
    </xf>
    <xf numFmtId="0" fontId="8" fillId="0" borderId="1" xfId="0" applyFont="1" applyBorder="1"/>
    <xf numFmtId="0" fontId="6" fillId="4" borderId="1" xfId="0" applyFont="1" applyFill="1" applyBorder="1" applyAlignment="1">
      <alignment horizontal="center" vertical="top"/>
    </xf>
    <xf numFmtId="0" fontId="6" fillId="4" borderId="1" xfId="0" applyFont="1" applyFill="1" applyBorder="1" applyAlignment="1">
      <alignment horizontal="center" vertical="top" wrapText="1"/>
    </xf>
    <xf numFmtId="0" fontId="8" fillId="4" borderId="1" xfId="0" applyFont="1" applyFill="1" applyBorder="1" applyAlignment="1">
      <alignment horizontal="center" vertical="top"/>
    </xf>
    <xf numFmtId="15" fontId="8" fillId="4" borderId="1" xfId="0" applyNumberFormat="1" applyFont="1" applyFill="1" applyBorder="1" applyAlignment="1">
      <alignment horizontal="center" vertical="top"/>
    </xf>
    <xf numFmtId="164" fontId="8" fillId="4" borderId="1" xfId="0" applyNumberFormat="1" applyFont="1" applyFill="1" applyBorder="1" applyAlignment="1">
      <alignment horizontal="center" vertical="top" wrapText="1"/>
    </xf>
    <xf numFmtId="164" fontId="8" fillId="4" borderId="1" xfId="0" applyNumberFormat="1" applyFont="1" applyFill="1" applyBorder="1" applyAlignment="1">
      <alignment horizontal="center" vertical="top"/>
    </xf>
    <xf numFmtId="0" fontId="8" fillId="4" borderId="1" xfId="0" applyFont="1" applyFill="1" applyBorder="1" applyAlignment="1">
      <alignment horizontal="center"/>
    </xf>
    <xf numFmtId="0" fontId="8" fillId="5" borderId="1" xfId="0" applyFont="1" applyFill="1" applyBorder="1" applyAlignment="1">
      <alignment horizontal="center" vertical="top" wrapText="1"/>
    </xf>
    <xf numFmtId="164" fontId="8" fillId="5" borderId="1" xfId="0" applyNumberFormat="1" applyFont="1" applyFill="1" applyBorder="1" applyAlignment="1">
      <alignment horizontal="center" vertical="top" wrapText="1"/>
    </xf>
    <xf numFmtId="0" fontId="6" fillId="0" borderId="1" xfId="0" quotePrefix="1" applyFont="1" applyBorder="1" applyAlignment="1">
      <alignment horizontal="center" vertical="top"/>
    </xf>
    <xf numFmtId="15" fontId="6" fillId="0" borderId="1" xfId="0" applyNumberFormat="1" applyFont="1" applyBorder="1" applyAlignment="1">
      <alignment horizontal="center" vertical="top" wrapText="1"/>
    </xf>
    <xf numFmtId="0" fontId="1" fillId="0" borderId="1" xfId="0" applyFont="1" applyBorder="1" applyAlignment="1">
      <alignment horizontal="center"/>
    </xf>
    <xf numFmtId="167" fontId="57" fillId="0" borderId="1" xfId="0" applyNumberFormat="1" applyFont="1" applyBorder="1" applyAlignment="1">
      <alignment horizontal="center" vertical="top" wrapText="1"/>
    </xf>
    <xf numFmtId="0" fontId="48" fillId="0" borderId="1" xfId="0" applyFont="1" applyBorder="1" applyAlignment="1">
      <alignment horizontal="center" vertical="top" wrapText="1"/>
    </xf>
    <xf numFmtId="0" fontId="8" fillId="0" borderId="1" xfId="0" applyFont="1" applyBorder="1" applyAlignment="1">
      <alignment horizontal="center" wrapText="1"/>
    </xf>
    <xf numFmtId="167" fontId="8" fillId="0" borderId="1" xfId="0" quotePrefix="1" applyNumberFormat="1" applyFont="1" applyBorder="1" applyAlignment="1">
      <alignment horizontal="center" vertical="top" wrapText="1"/>
    </xf>
    <xf numFmtId="0" fontId="8" fillId="0" borderId="1" xfId="0" applyFont="1" applyBorder="1" applyAlignment="1">
      <alignment horizontal="center" vertical="center"/>
    </xf>
    <xf numFmtId="15" fontId="8"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167" fontId="8" fillId="0" borderId="1" xfId="0" quotePrefix="1" applyNumberFormat="1" applyFont="1" applyBorder="1" applyAlignment="1">
      <alignment horizontal="center" vertical="top"/>
    </xf>
    <xf numFmtId="0" fontId="58" fillId="0" borderId="1" xfId="0" quotePrefix="1" applyFont="1" applyBorder="1" applyAlignment="1">
      <alignment horizontal="center" vertical="top"/>
    </xf>
    <xf numFmtId="15" fontId="58" fillId="0" borderId="1" xfId="0" applyNumberFormat="1" applyFont="1" applyBorder="1" applyAlignment="1">
      <alignment horizontal="center" vertical="top" wrapText="1"/>
    </xf>
    <xf numFmtId="0" fontId="58" fillId="0" borderId="1" xfId="0" applyFont="1" applyBorder="1" applyAlignment="1">
      <alignment horizontal="center" vertical="top" wrapText="1"/>
    </xf>
    <xf numFmtId="0" fontId="59" fillId="0" borderId="1" xfId="0" applyFont="1" applyBorder="1" applyAlignment="1">
      <alignment horizontal="center" vertical="top"/>
    </xf>
    <xf numFmtId="0" fontId="59" fillId="0" borderId="1" xfId="0" applyFont="1" applyBorder="1" applyAlignment="1">
      <alignment horizontal="center" wrapText="1"/>
    </xf>
    <xf numFmtId="0" fontId="60" fillId="0" borderId="1" xfId="0" applyFont="1" applyBorder="1" applyAlignment="1">
      <alignment horizontal="center" vertical="center"/>
    </xf>
    <xf numFmtId="0" fontId="59" fillId="0" borderId="1" xfId="0" applyFont="1" applyBorder="1" applyAlignment="1">
      <alignment horizontal="center" vertical="top" wrapText="1"/>
    </xf>
    <xf numFmtId="15" fontId="59" fillId="0" borderId="1" xfId="0" applyNumberFormat="1" applyFont="1" applyBorder="1" applyAlignment="1">
      <alignment horizontal="center" vertical="top"/>
    </xf>
    <xf numFmtId="167" fontId="59" fillId="0" borderId="1" xfId="0" applyNumberFormat="1" applyFont="1" applyBorder="1" applyAlignment="1">
      <alignment horizontal="center" vertical="top"/>
    </xf>
    <xf numFmtId="164" fontId="59" fillId="0" borderId="1" xfId="0" applyNumberFormat="1" applyFont="1" applyBorder="1" applyAlignment="1">
      <alignment horizontal="center" vertical="top" wrapText="1"/>
    </xf>
    <xf numFmtId="0" fontId="59" fillId="0" borderId="1" xfId="0" applyFont="1" applyBorder="1" applyAlignment="1">
      <alignment horizontal="center"/>
    </xf>
    <xf numFmtId="0" fontId="49" fillId="0" borderId="1" xfId="0" applyFont="1" applyBorder="1" applyAlignment="1">
      <alignment horizontal="center" vertical="top" wrapText="1"/>
    </xf>
    <xf numFmtId="0" fontId="6" fillId="0" borderId="1" xfId="0" quotePrefix="1" applyFont="1" applyBorder="1" applyAlignment="1">
      <alignment horizontal="center" vertical="top" wrapText="1"/>
    </xf>
    <xf numFmtId="0" fontId="0" fillId="0" borderId="1" xfId="0" applyBorder="1" applyAlignment="1">
      <alignment horizontal="center" vertical="center"/>
    </xf>
    <xf numFmtId="0" fontId="5" fillId="0" borderId="1" xfId="0" quotePrefix="1" applyFont="1" applyBorder="1" applyAlignment="1">
      <alignment horizontal="center" vertical="top"/>
    </xf>
    <xf numFmtId="15"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0" fontId="1" fillId="0" borderId="1" xfId="0" applyFont="1" applyBorder="1" applyAlignment="1">
      <alignment horizontal="center" vertical="top"/>
    </xf>
    <xf numFmtId="0" fontId="1" fillId="0" borderId="1" xfId="0" applyFont="1" applyBorder="1" applyAlignment="1">
      <alignment horizontal="center" vertical="center"/>
    </xf>
    <xf numFmtId="15" fontId="1" fillId="0" borderId="1" xfId="0" applyNumberFormat="1" applyFont="1" applyBorder="1" applyAlignment="1">
      <alignment horizontal="center" vertical="top"/>
    </xf>
    <xf numFmtId="167" fontId="1" fillId="0" borderId="1" xfId="0" applyNumberFormat="1" applyFont="1" applyBorder="1" applyAlignment="1">
      <alignment horizontal="center" vertical="top"/>
    </xf>
    <xf numFmtId="164" fontId="1" fillId="0" borderId="1" xfId="0" applyNumberFormat="1" applyFont="1" applyBorder="1" applyAlignment="1">
      <alignment horizontal="center" vertical="top" wrapText="1"/>
    </xf>
    <xf numFmtId="164" fontId="1" fillId="0" borderId="1" xfId="0" quotePrefix="1" applyNumberFormat="1" applyFont="1" applyBorder="1" applyAlignment="1">
      <alignment horizontal="center" vertical="top" wrapText="1"/>
    </xf>
    <xf numFmtId="0" fontId="61" fillId="0" borderId="1" xfId="0" quotePrefix="1" applyFont="1" applyBorder="1" applyAlignment="1">
      <alignment horizontal="center" vertical="top"/>
    </xf>
    <xf numFmtId="15" fontId="61" fillId="0" borderId="1" xfId="0" applyNumberFormat="1" applyFont="1" applyBorder="1" applyAlignment="1">
      <alignment horizontal="center" vertical="top"/>
    </xf>
    <xf numFmtId="0" fontId="61" fillId="0" borderId="1" xfId="0" applyFont="1" applyBorder="1" applyAlignment="1">
      <alignment horizontal="center" vertical="top" wrapText="1"/>
    </xf>
    <xf numFmtId="0" fontId="52" fillId="0" borderId="1" xfId="0" applyFont="1" applyBorder="1" applyAlignment="1">
      <alignment horizontal="center" vertical="top"/>
    </xf>
    <xf numFmtId="0" fontId="52" fillId="0" borderId="1" xfId="0" applyFont="1" applyBorder="1" applyAlignment="1">
      <alignment horizontal="center" wrapText="1"/>
    </xf>
    <xf numFmtId="0" fontId="52" fillId="0" borderId="1" xfId="0" applyFont="1" applyBorder="1" applyAlignment="1">
      <alignment horizontal="center" vertical="center"/>
    </xf>
    <xf numFmtId="0" fontId="52" fillId="0" borderId="1" xfId="0" applyFont="1" applyBorder="1" applyAlignment="1">
      <alignment horizontal="center" vertical="top" wrapText="1"/>
    </xf>
    <xf numFmtId="15" fontId="52" fillId="0" borderId="1" xfId="0" applyNumberFormat="1" applyFont="1" applyBorder="1" applyAlignment="1">
      <alignment horizontal="center" vertical="top"/>
    </xf>
    <xf numFmtId="167" fontId="52" fillId="0" borderId="1" xfId="0" applyNumberFormat="1" applyFont="1" applyBorder="1" applyAlignment="1">
      <alignment horizontal="center" vertical="top"/>
    </xf>
    <xf numFmtId="164" fontId="52" fillId="0" borderId="1" xfId="0" applyNumberFormat="1" applyFont="1" applyBorder="1" applyAlignment="1">
      <alignment horizontal="center" vertical="top" wrapText="1"/>
    </xf>
    <xf numFmtId="0" fontId="58" fillId="0" borderId="1" xfId="0" quotePrefix="1" applyFont="1" applyBorder="1" applyAlignment="1">
      <alignment horizontal="center" vertical="top" wrapText="1"/>
    </xf>
    <xf numFmtId="0" fontId="59" fillId="0" borderId="1" xfId="0" applyFont="1" applyBorder="1" applyAlignment="1">
      <alignment horizontal="center" vertical="center"/>
    </xf>
    <xf numFmtId="165" fontId="8" fillId="0" borderId="2" xfId="0" applyNumberFormat="1" applyFont="1" applyBorder="1" applyAlignment="1">
      <alignment horizontal="center" vertical="top"/>
    </xf>
    <xf numFmtId="0" fontId="7" fillId="0" borderId="1" xfId="0" quotePrefix="1" applyFont="1" applyBorder="1" applyAlignment="1">
      <alignment horizontal="center" vertical="top" wrapText="1"/>
    </xf>
    <xf numFmtId="15" fontId="7" fillId="0" borderId="1" xfId="0" applyNumberFormat="1" applyFont="1" applyBorder="1" applyAlignment="1">
      <alignment horizontal="center" vertical="top" wrapText="1"/>
    </xf>
    <xf numFmtId="0" fontId="7" fillId="0" borderId="1" xfId="0" applyFont="1" applyBorder="1" applyAlignment="1">
      <alignment horizontal="center" vertical="top" wrapText="1"/>
    </xf>
    <xf numFmtId="0" fontId="31" fillId="0" borderId="1" xfId="0" applyFont="1" applyBorder="1" applyAlignment="1">
      <alignment horizontal="center" vertical="top"/>
    </xf>
    <xf numFmtId="0" fontId="31" fillId="0" borderId="1" xfId="0" applyFont="1" applyBorder="1" applyAlignment="1">
      <alignment horizontal="center" vertical="top" wrapText="1"/>
    </xf>
    <xf numFmtId="0" fontId="31" fillId="0" borderId="1" xfId="0" applyFont="1" applyBorder="1" applyAlignment="1">
      <alignment horizontal="center" vertical="center" wrapText="1"/>
    </xf>
    <xf numFmtId="0" fontId="31" fillId="0" borderId="1" xfId="0" applyFont="1" applyBorder="1" applyAlignment="1">
      <alignment horizontal="center" vertical="center"/>
    </xf>
    <xf numFmtId="15" fontId="31" fillId="0" borderId="1" xfId="0" applyNumberFormat="1" applyFont="1" applyBorder="1" applyAlignment="1">
      <alignment horizontal="center" vertical="top"/>
    </xf>
    <xf numFmtId="167" fontId="31" fillId="0" borderId="1" xfId="0" applyNumberFormat="1" applyFont="1" applyBorder="1" applyAlignment="1">
      <alignment horizontal="center" vertical="top" wrapText="1"/>
    </xf>
    <xf numFmtId="164" fontId="31" fillId="0" borderId="1" xfId="0" applyNumberFormat="1" applyFont="1" applyBorder="1" applyAlignment="1">
      <alignment horizontal="center" vertical="top" wrapText="1"/>
    </xf>
    <xf numFmtId="16" fontId="31" fillId="0" borderId="1" xfId="0" applyNumberFormat="1" applyFont="1" applyBorder="1" applyAlignment="1">
      <alignment horizontal="center" vertical="top"/>
    </xf>
    <xf numFmtId="166" fontId="31" fillId="0" borderId="1" xfId="0" applyNumberFormat="1" applyFont="1" applyBorder="1" applyAlignment="1">
      <alignment horizontal="center" vertical="top"/>
    </xf>
    <xf numFmtId="166" fontId="8" fillId="0" borderId="1" xfId="0" applyNumberFormat="1" applyFont="1" applyBorder="1" applyAlignment="1">
      <alignment horizontal="center" vertical="top"/>
    </xf>
    <xf numFmtId="0" fontId="8" fillId="0" borderId="0" xfId="0" applyFont="1" applyAlignment="1">
      <alignment horizontal="center"/>
    </xf>
    <xf numFmtId="0" fontId="56" fillId="0" borderId="1" xfId="0" applyFont="1" applyBorder="1" applyAlignment="1">
      <alignment horizontal="center" vertical="top" wrapText="1"/>
    </xf>
    <xf numFmtId="167" fontId="57" fillId="0" borderId="1" xfId="0" quotePrefix="1" applyNumberFormat="1" applyFont="1" applyBorder="1" applyAlignment="1">
      <alignment horizontal="center" vertical="top"/>
    </xf>
    <xf numFmtId="0" fontId="63" fillId="0" borderId="1" xfId="0" applyFont="1" applyBorder="1" applyAlignment="1">
      <alignment horizontal="center" vertical="center"/>
    </xf>
    <xf numFmtId="15" fontId="7" fillId="0" borderId="1" xfId="0" applyNumberFormat="1" applyFont="1" applyBorder="1" applyAlignment="1">
      <alignment horizontal="center" vertical="top"/>
    </xf>
    <xf numFmtId="165" fontId="8" fillId="0" borderId="1" xfId="0" applyNumberFormat="1" applyFont="1" applyBorder="1" applyAlignment="1">
      <alignment horizontal="center" vertical="top"/>
    </xf>
    <xf numFmtId="0" fontId="59" fillId="0" borderId="0" xfId="0" applyFont="1"/>
    <xf numFmtId="0" fontId="5" fillId="0" borderId="1" xfId="0" quotePrefix="1" applyFont="1" applyBorder="1" applyAlignment="1">
      <alignment horizontal="center" vertical="top" wrapText="1"/>
    </xf>
    <xf numFmtId="15" fontId="5" fillId="0" borderId="1" xfId="0" applyNumberFormat="1" applyFont="1" applyBorder="1" applyAlignment="1">
      <alignment horizontal="center" vertical="top"/>
    </xf>
    <xf numFmtId="0" fontId="1" fillId="0" borderId="1" xfId="0" applyFont="1" applyBorder="1" applyAlignment="1">
      <alignment horizontal="center" vertical="center" wrapText="1"/>
    </xf>
    <xf numFmtId="167" fontId="1" fillId="0" borderId="1" xfId="0" applyNumberFormat="1" applyFont="1" applyBorder="1" applyAlignment="1">
      <alignment horizontal="center" vertical="top" wrapText="1"/>
    </xf>
    <xf numFmtId="15" fontId="6"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7" borderId="4" xfId="0" applyFont="1" applyFill="1" applyBorder="1" applyAlignment="1">
      <alignment horizontal="center" vertical="top" wrapText="1"/>
    </xf>
    <xf numFmtId="0" fontId="9" fillId="7" borderId="4" xfId="0" applyFont="1" applyFill="1" applyBorder="1" applyAlignment="1">
      <alignment horizontal="center" vertical="top"/>
    </xf>
    <xf numFmtId="0" fontId="3" fillId="0" borderId="4" xfId="0" applyFont="1" applyBorder="1" applyAlignment="1">
      <alignment horizontal="center" vertical="top" wrapText="1"/>
    </xf>
    <xf numFmtId="0" fontId="3" fillId="0" borderId="4" xfId="0" applyFont="1" applyBorder="1" applyAlignment="1">
      <alignment horizontal="center" vertical="top"/>
    </xf>
    <xf numFmtId="0" fontId="9" fillId="0" borderId="4" xfId="0" applyFont="1" applyBorder="1" applyAlignment="1">
      <alignment horizontal="center" vertical="top"/>
    </xf>
    <xf numFmtId="0" fontId="9" fillId="0" borderId="4" xfId="0" applyFont="1" applyBorder="1" applyAlignment="1">
      <alignment horizontal="center" vertical="center"/>
    </xf>
    <xf numFmtId="167" fontId="9" fillId="0" borderId="4" xfId="0" applyNumberFormat="1" applyFont="1" applyBorder="1" applyAlignment="1">
      <alignment horizontal="center" vertical="top"/>
    </xf>
    <xf numFmtId="0" fontId="9" fillId="7" borderId="4" xfId="0" applyFont="1" applyFill="1" applyBorder="1" applyAlignment="1">
      <alignment horizontal="center" vertical="top" wrapText="1"/>
    </xf>
    <xf numFmtId="15" fontId="9" fillId="7" borderId="4" xfId="0" applyNumberFormat="1" applyFont="1" applyFill="1" applyBorder="1" applyAlignment="1">
      <alignment horizontal="center" vertical="top"/>
    </xf>
    <xf numFmtId="164" fontId="9" fillId="7" borderId="4" xfId="0" applyNumberFormat="1" applyFont="1" applyFill="1" applyBorder="1" applyAlignment="1">
      <alignment horizontal="center" vertical="top" wrapText="1"/>
    </xf>
    <xf numFmtId="165" fontId="9" fillId="7" borderId="4" xfId="0" applyNumberFormat="1" applyFont="1" applyFill="1" applyBorder="1" applyAlignment="1">
      <alignment horizontal="center" vertical="top"/>
    </xf>
    <xf numFmtId="0" fontId="10" fillId="0" borderId="4" xfId="0" applyFont="1" applyBorder="1" applyAlignment="1">
      <alignment horizontal="center" vertical="top" wrapText="1"/>
    </xf>
    <xf numFmtId="0" fontId="9" fillId="0" borderId="4" xfId="0" applyFont="1" applyBorder="1" applyAlignment="1">
      <alignment horizontal="center" vertical="top" wrapText="1"/>
    </xf>
    <xf numFmtId="15" fontId="9" fillId="0" borderId="4" xfId="0" applyNumberFormat="1" applyFont="1" applyBorder="1" applyAlignment="1">
      <alignment horizontal="center" vertical="top"/>
    </xf>
    <xf numFmtId="164" fontId="9" fillId="0" borderId="4" xfId="0" applyNumberFormat="1" applyFont="1" applyBorder="1" applyAlignment="1">
      <alignment horizontal="center" vertical="top" wrapText="1"/>
    </xf>
    <xf numFmtId="16" fontId="4" fillId="0" borderId="4" xfId="0" applyNumberFormat="1" applyFont="1" applyBorder="1" applyAlignment="1">
      <alignment horizontal="center" vertical="top"/>
    </xf>
    <xf numFmtId="165" fontId="9" fillId="0" borderId="4" xfId="0" applyNumberFormat="1" applyFont="1" applyBorder="1" applyAlignment="1">
      <alignment horizontal="center" vertical="top"/>
    </xf>
    <xf numFmtId="167" fontId="9" fillId="0" borderId="4" xfId="0" applyNumberFormat="1" applyFont="1" applyBorder="1" applyAlignment="1">
      <alignment horizontal="center" vertical="top" wrapText="1"/>
    </xf>
    <xf numFmtId="167" fontId="9" fillId="7" borderId="4" xfId="0" applyNumberFormat="1" applyFont="1" applyFill="1" applyBorder="1" applyAlignment="1">
      <alignment horizontal="center" vertical="top" wrapText="1"/>
    </xf>
    <xf numFmtId="0" fontId="9" fillId="7" borderId="4" xfId="0" applyFont="1" applyFill="1" applyBorder="1" applyAlignment="1">
      <alignment horizontal="center" vertical="center" wrapText="1"/>
    </xf>
    <xf numFmtId="15" fontId="3" fillId="7" borderId="4" xfId="0" applyNumberFormat="1" applyFont="1" applyFill="1" applyBorder="1" applyAlignment="1">
      <alignment horizontal="center" vertical="top"/>
    </xf>
    <xf numFmtId="15" fontId="3" fillId="0" borderId="4" xfId="0" applyNumberFormat="1" applyFont="1" applyBorder="1" applyAlignment="1">
      <alignment horizontal="center" vertical="top"/>
    </xf>
    <xf numFmtId="0" fontId="9" fillId="0" borderId="4" xfId="0" applyFont="1" applyBorder="1" applyAlignment="1">
      <alignment horizontal="center" vertical="center" wrapText="1"/>
    </xf>
    <xf numFmtId="166" fontId="4" fillId="7" borderId="3" xfId="0" applyNumberFormat="1" applyFont="1" applyFill="1" applyBorder="1" applyAlignment="1">
      <alignment horizontal="center" vertical="top"/>
    </xf>
    <xf numFmtId="166" fontId="4" fillId="0" borderId="3" xfId="0" applyNumberFormat="1" applyFont="1" applyBorder="1" applyAlignment="1">
      <alignment horizontal="center" vertical="top"/>
    </xf>
    <xf numFmtId="166" fontId="9" fillId="7" borderId="3" xfId="0" applyNumberFormat="1" applyFont="1" applyFill="1" applyBorder="1" applyAlignment="1">
      <alignment horizontal="center" vertical="top"/>
    </xf>
    <xf numFmtId="166" fontId="16" fillId="0" borderId="3" xfId="0" applyNumberFormat="1" applyFont="1" applyBorder="1" applyAlignment="1">
      <alignment horizontal="center" vertical="top"/>
    </xf>
    <xf numFmtId="166" fontId="16" fillId="7" borderId="3" xfId="0" applyNumberFormat="1" applyFont="1" applyFill="1" applyBorder="1" applyAlignment="1">
      <alignment horizontal="center" vertical="top"/>
    </xf>
    <xf numFmtId="0" fontId="4" fillId="0" borderId="3" xfId="0" applyFont="1" applyBorder="1" applyAlignment="1">
      <alignment horizontal="center" vertical="top" wrapText="1"/>
    </xf>
    <xf numFmtId="166" fontId="9" fillId="0" borderId="3" xfId="0" applyNumberFormat="1" applyFont="1" applyBorder="1" applyAlignment="1">
      <alignment horizontal="center" vertical="top"/>
    </xf>
    <xf numFmtId="166" fontId="0" fillId="7" borderId="3" xfId="0" applyNumberFormat="1" applyFill="1" applyBorder="1" applyAlignment="1">
      <alignment horizontal="center" vertical="top"/>
    </xf>
    <xf numFmtId="166" fontId="25" fillId="7" borderId="3" xfId="0" applyNumberFormat="1" applyFont="1" applyFill="1" applyBorder="1" applyAlignment="1">
      <alignment horizontal="center" vertical="top"/>
    </xf>
    <xf numFmtId="0" fontId="3" fillId="6" borderId="1" xfId="0" applyFont="1" applyFill="1" applyBorder="1" applyAlignment="1">
      <alignment horizontal="center" vertical="center"/>
    </xf>
    <xf numFmtId="0" fontId="3" fillId="7" borderId="1" xfId="0" applyFont="1" applyFill="1" applyBorder="1" applyAlignment="1">
      <alignment horizontal="center" vertical="top" wrapText="1"/>
    </xf>
    <xf numFmtId="0" fontId="0" fillId="7" borderId="1" xfId="0" applyFill="1" applyBorder="1" applyAlignment="1">
      <alignment horizontal="center" vertical="top" wrapText="1"/>
    </xf>
    <xf numFmtId="0" fontId="3" fillId="7" borderId="1" xfId="0" applyFont="1" applyFill="1" applyBorder="1" applyAlignment="1">
      <alignment horizontal="center" vertical="top"/>
    </xf>
    <xf numFmtId="0" fontId="9" fillId="7" borderId="1" xfId="0" applyFont="1" applyFill="1" applyBorder="1" applyAlignment="1">
      <alignment horizontal="center" vertical="top"/>
    </xf>
    <xf numFmtId="0" fontId="9" fillId="7" borderId="1" xfId="0" applyFont="1" applyFill="1" applyBorder="1" applyAlignment="1">
      <alignment horizontal="center" vertical="center"/>
    </xf>
    <xf numFmtId="167" fontId="9" fillId="7" borderId="1" xfId="0" applyNumberFormat="1" applyFont="1" applyFill="1" applyBorder="1" applyAlignment="1">
      <alignment horizontal="center" vertical="top"/>
    </xf>
    <xf numFmtId="0" fontId="4" fillId="7" borderId="1" xfId="0" applyFont="1" applyFill="1" applyBorder="1" applyAlignment="1">
      <alignment horizontal="center" vertical="top"/>
    </xf>
    <xf numFmtId="165" fontId="4" fillId="7" borderId="1" xfId="0" applyNumberFormat="1" applyFont="1" applyFill="1" applyBorder="1" applyAlignment="1">
      <alignment horizontal="center" vertical="top"/>
    </xf>
    <xf numFmtId="0" fontId="4" fillId="0" borderId="1" xfId="0" applyFont="1" applyBorder="1" applyAlignment="1">
      <alignment horizontal="center" vertical="top"/>
    </xf>
    <xf numFmtId="165" fontId="4" fillId="0" borderId="1" xfId="0" applyNumberFormat="1" applyFont="1" applyBorder="1" applyAlignment="1">
      <alignment horizontal="center" vertical="top"/>
    </xf>
    <xf numFmtId="0" fontId="10" fillId="7" borderId="1" xfId="0" applyFont="1" applyFill="1" applyBorder="1" applyAlignment="1">
      <alignment horizontal="center" vertical="top" wrapText="1"/>
    </xf>
    <xf numFmtId="0" fontId="9" fillId="7" borderId="1" xfId="0" applyFont="1" applyFill="1" applyBorder="1" applyAlignment="1">
      <alignment horizontal="center" vertical="top" wrapText="1"/>
    </xf>
    <xf numFmtId="15" fontId="9" fillId="7" borderId="1" xfId="0" applyNumberFormat="1" applyFont="1" applyFill="1" applyBorder="1" applyAlignment="1">
      <alignment horizontal="center" vertical="top"/>
    </xf>
    <xf numFmtId="164" fontId="9" fillId="7" borderId="1" xfId="0" applyNumberFormat="1" applyFont="1" applyFill="1" applyBorder="1" applyAlignment="1">
      <alignment horizontal="center" vertical="top" wrapText="1"/>
    </xf>
    <xf numFmtId="16" fontId="9" fillId="7" borderId="1" xfId="0" applyNumberFormat="1" applyFont="1" applyFill="1" applyBorder="1" applyAlignment="1">
      <alignment horizontal="center" vertical="top"/>
    </xf>
    <xf numFmtId="165" fontId="9" fillId="7" borderId="1" xfId="0" applyNumberFormat="1" applyFont="1" applyFill="1" applyBorder="1" applyAlignment="1">
      <alignment horizontal="center" vertical="top"/>
    </xf>
    <xf numFmtId="16" fontId="4" fillId="7" borderId="1" xfId="0" applyNumberFormat="1" applyFont="1" applyFill="1" applyBorder="1" applyAlignment="1">
      <alignment horizontal="center" vertical="top"/>
    </xf>
    <xf numFmtId="0" fontId="4" fillId="7" borderId="1" xfId="0" applyFont="1" applyFill="1" applyBorder="1" applyAlignment="1">
      <alignment horizontal="center" vertical="center"/>
    </xf>
    <xf numFmtId="0" fontId="12" fillId="7" borderId="1" xfId="0" applyFont="1" applyFill="1" applyBorder="1" applyAlignment="1">
      <alignment horizontal="center" vertical="top"/>
    </xf>
    <xf numFmtId="0" fontId="13" fillId="7" borderId="1" xfId="0" applyFont="1" applyFill="1" applyBorder="1" applyAlignment="1">
      <alignment horizontal="center" vertical="top" wrapText="1"/>
    </xf>
    <xf numFmtId="0" fontId="15" fillId="7" borderId="1" xfId="0" applyFont="1" applyFill="1" applyBorder="1" applyAlignment="1">
      <alignment horizontal="center" vertical="top"/>
    </xf>
    <xf numFmtId="0" fontId="15" fillId="7" borderId="1" xfId="0" applyFont="1" applyFill="1" applyBorder="1" applyAlignment="1">
      <alignment horizontal="center" vertical="top" wrapText="1"/>
    </xf>
    <xf numFmtId="15" fontId="15" fillId="7" borderId="1" xfId="0" applyNumberFormat="1" applyFont="1" applyFill="1" applyBorder="1" applyAlignment="1">
      <alignment horizontal="center" vertical="top"/>
    </xf>
    <xf numFmtId="167" fontId="15" fillId="7" borderId="1" xfId="0" applyNumberFormat="1" applyFont="1" applyFill="1" applyBorder="1" applyAlignment="1">
      <alignment horizontal="center" vertical="top"/>
    </xf>
    <xf numFmtId="0" fontId="16" fillId="7" borderId="1" xfId="0" applyFont="1" applyFill="1" applyBorder="1" applyAlignment="1">
      <alignment horizontal="center" vertical="top" wrapText="1"/>
    </xf>
    <xf numFmtId="164" fontId="15" fillId="7" borderId="1" xfId="0" applyNumberFormat="1" applyFont="1" applyFill="1" applyBorder="1" applyAlignment="1">
      <alignment horizontal="center" vertical="top" wrapText="1"/>
    </xf>
    <xf numFmtId="0" fontId="17" fillId="0" borderId="1" xfId="0" applyFont="1" applyBorder="1" applyAlignment="1">
      <alignment horizontal="center" vertical="top"/>
    </xf>
    <xf numFmtId="0" fontId="18" fillId="0" borderId="1" xfId="0" applyFont="1" applyBorder="1" applyAlignment="1">
      <alignment horizontal="center" vertical="top" wrapText="1"/>
    </xf>
    <xf numFmtId="0" fontId="16" fillId="0" borderId="1" xfId="0" applyFont="1" applyBorder="1" applyAlignment="1">
      <alignment horizontal="center" vertical="top"/>
    </xf>
    <xf numFmtId="0" fontId="16" fillId="0" borderId="1" xfId="0" applyFont="1" applyBorder="1" applyAlignment="1">
      <alignment horizontal="center" vertical="top" wrapText="1"/>
    </xf>
    <xf numFmtId="0" fontId="16" fillId="0" borderId="1" xfId="0" applyFont="1" applyBorder="1" applyAlignment="1">
      <alignment horizontal="center" vertical="center"/>
    </xf>
    <xf numFmtId="15" fontId="16" fillId="0" borderId="1" xfId="0" applyNumberFormat="1" applyFont="1" applyBorder="1" applyAlignment="1">
      <alignment horizontal="center" vertical="top"/>
    </xf>
    <xf numFmtId="167" fontId="16" fillId="0" borderId="1" xfId="0" applyNumberFormat="1" applyFont="1" applyBorder="1" applyAlignment="1">
      <alignment horizontal="center" vertical="top" wrapText="1"/>
    </xf>
    <xf numFmtId="164" fontId="16" fillId="0" borderId="1" xfId="0" applyNumberFormat="1" applyFont="1" applyBorder="1" applyAlignment="1">
      <alignment horizontal="center" vertical="top" wrapText="1"/>
    </xf>
    <xf numFmtId="164" fontId="16" fillId="0" borderId="1" xfId="0" applyNumberFormat="1" applyFont="1" applyBorder="1" applyAlignment="1">
      <alignment horizontal="center" vertical="top"/>
    </xf>
    <xf numFmtId="16" fontId="16" fillId="0" borderId="1" xfId="0" applyNumberFormat="1" applyFont="1" applyBorder="1" applyAlignment="1">
      <alignment horizontal="center" vertical="top"/>
    </xf>
    <xf numFmtId="0" fontId="17" fillId="7" borderId="1" xfId="0" applyFont="1" applyFill="1" applyBorder="1" applyAlignment="1">
      <alignment horizontal="center" vertical="top"/>
    </xf>
    <xf numFmtId="0" fontId="20" fillId="7" borderId="1" xfId="0" applyFont="1" applyFill="1" applyBorder="1" applyAlignment="1">
      <alignment horizontal="center" vertical="top" wrapText="1"/>
    </xf>
    <xf numFmtId="0" fontId="16" fillId="7" borderId="1" xfId="0" applyFont="1" applyFill="1" applyBorder="1" applyAlignment="1">
      <alignment horizontal="center" vertical="top"/>
    </xf>
    <xf numFmtId="0" fontId="16" fillId="7" borderId="1" xfId="0" applyFont="1" applyFill="1" applyBorder="1" applyAlignment="1">
      <alignment horizontal="center" vertical="center"/>
    </xf>
    <xf numFmtId="15" fontId="16" fillId="7" borderId="1" xfId="0" applyNumberFormat="1" applyFont="1" applyFill="1" applyBorder="1" applyAlignment="1">
      <alignment horizontal="center" vertical="top"/>
    </xf>
    <xf numFmtId="167" fontId="16" fillId="7" borderId="1" xfId="0" applyNumberFormat="1" applyFont="1" applyFill="1" applyBorder="1" applyAlignment="1">
      <alignment horizontal="center" vertical="top" wrapText="1"/>
    </xf>
    <xf numFmtId="164" fontId="16" fillId="7" borderId="1" xfId="0" applyNumberFormat="1" applyFont="1" applyFill="1" applyBorder="1" applyAlignment="1">
      <alignment horizontal="center" vertical="top" wrapText="1"/>
    </xf>
    <xf numFmtId="164" fontId="16" fillId="7" borderId="1" xfId="0" applyNumberFormat="1" applyFont="1" applyFill="1" applyBorder="1" applyAlignment="1">
      <alignment horizontal="center" vertical="top"/>
    </xf>
    <xf numFmtId="16" fontId="16" fillId="7" borderId="1" xfId="0" applyNumberFormat="1" applyFont="1" applyFill="1" applyBorder="1" applyAlignment="1">
      <alignment horizontal="center" vertical="top"/>
    </xf>
    <xf numFmtId="0" fontId="20" fillId="0" borderId="1" xfId="0" applyFont="1" applyBorder="1" applyAlignment="1">
      <alignment horizontal="center" vertical="top" wrapText="1"/>
    </xf>
    <xf numFmtId="167" fontId="16" fillId="0" borderId="1" xfId="0" applyNumberFormat="1" applyFont="1" applyBorder="1" applyAlignment="1">
      <alignment horizontal="center" vertical="top"/>
    </xf>
    <xf numFmtId="0" fontId="18" fillId="7" borderId="1" xfId="0" applyFont="1" applyFill="1" applyBorder="1" applyAlignment="1">
      <alignment horizontal="center" vertical="top" wrapText="1"/>
    </xf>
    <xf numFmtId="0" fontId="12" fillId="7" borderId="1" xfId="0" applyFont="1" applyFill="1" applyBorder="1" applyAlignment="1">
      <alignment horizontal="center" vertical="top" wrapText="1"/>
    </xf>
    <xf numFmtId="0" fontId="12" fillId="0" borderId="1" xfId="0" applyFont="1" applyBorder="1" applyAlignment="1">
      <alignment horizontal="center" vertical="top"/>
    </xf>
    <xf numFmtId="0" fontId="13" fillId="0" borderId="1" xfId="0" applyFont="1" applyBorder="1" applyAlignment="1">
      <alignment horizontal="center" vertical="top" wrapText="1"/>
    </xf>
    <xf numFmtId="0" fontId="15" fillId="0" borderId="1" xfId="0" applyFont="1" applyBorder="1" applyAlignment="1">
      <alignment horizontal="center" vertical="top"/>
    </xf>
    <xf numFmtId="0" fontId="15" fillId="0" borderId="1" xfId="0" applyFont="1" applyBorder="1" applyAlignment="1">
      <alignment horizontal="center" vertical="center" wrapText="1"/>
    </xf>
    <xf numFmtId="0" fontId="15" fillId="0" borderId="1" xfId="0" applyFont="1" applyBorder="1" applyAlignment="1">
      <alignment horizontal="center" vertical="top" wrapText="1"/>
    </xf>
    <xf numFmtId="15" fontId="15" fillId="0" borderId="1" xfId="0" applyNumberFormat="1" applyFont="1" applyBorder="1" applyAlignment="1">
      <alignment horizontal="center" vertical="top"/>
    </xf>
    <xf numFmtId="167" fontId="15" fillId="0" borderId="1" xfId="0" applyNumberFormat="1" applyFont="1" applyBorder="1" applyAlignment="1">
      <alignment horizontal="center" vertical="top"/>
    </xf>
    <xf numFmtId="164" fontId="15" fillId="0" borderId="1" xfId="0" applyNumberFormat="1" applyFont="1" applyBorder="1" applyAlignment="1">
      <alignment horizontal="center" vertical="top" wrapText="1"/>
    </xf>
    <xf numFmtId="165" fontId="16" fillId="0" borderId="1" xfId="0" applyNumberFormat="1" applyFont="1" applyBorder="1" applyAlignment="1">
      <alignment horizontal="center" vertical="top"/>
    </xf>
    <xf numFmtId="0" fontId="23" fillId="7" borderId="1" xfId="0" applyFont="1" applyFill="1" applyBorder="1" applyAlignment="1">
      <alignment horizontal="center" vertical="top" wrapText="1"/>
    </xf>
    <xf numFmtId="0" fontId="12" fillId="0" borderId="1" xfId="0" applyFont="1" applyBorder="1" applyAlignment="1">
      <alignment horizontal="center" vertical="top" wrapText="1"/>
    </xf>
    <xf numFmtId="167" fontId="9" fillId="7" borderId="1" xfId="0" applyNumberFormat="1" applyFont="1" applyFill="1" applyBorder="1" applyAlignment="1">
      <alignment horizontal="center" vertical="top" wrapText="1"/>
    </xf>
    <xf numFmtId="0" fontId="17" fillId="0" borderId="1" xfId="0" applyFont="1" applyBorder="1" applyAlignment="1">
      <alignment horizontal="center" vertical="top" wrapText="1"/>
    </xf>
    <xf numFmtId="0" fontId="17" fillId="7" borderId="1" xfId="0" applyFont="1" applyFill="1" applyBorder="1" applyAlignment="1">
      <alignment horizontal="center" vertical="top" wrapText="1"/>
    </xf>
    <xf numFmtId="0" fontId="9" fillId="7" borderId="1" xfId="0" applyFont="1" applyFill="1" applyBorder="1" applyAlignment="1">
      <alignment horizontal="center" vertical="center" wrapText="1"/>
    </xf>
    <xf numFmtId="15" fontId="12" fillId="0" borderId="1" xfId="0" applyNumberFormat="1" applyFont="1" applyBorder="1" applyAlignment="1">
      <alignment horizontal="center" vertical="top"/>
    </xf>
    <xf numFmtId="15" fontId="3" fillId="0" borderId="1" xfId="0" applyNumberFormat="1" applyFont="1" applyBorder="1" applyAlignment="1">
      <alignment horizontal="center" vertical="top" wrapText="1"/>
    </xf>
    <xf numFmtId="15" fontId="3" fillId="7" borderId="1" xfId="0" applyNumberFormat="1" applyFont="1" applyFill="1" applyBorder="1" applyAlignment="1">
      <alignment horizontal="center" vertical="top"/>
    </xf>
    <xf numFmtId="15" fontId="26" fillId="0" borderId="1" xfId="0" applyNumberFormat="1" applyFont="1" applyBorder="1" applyAlignment="1">
      <alignment horizontal="center" vertical="top"/>
    </xf>
    <xf numFmtId="0" fontId="26" fillId="0" borderId="1" xfId="0" applyFont="1" applyBorder="1" applyAlignment="1">
      <alignment horizontal="center" vertical="top" wrapText="1"/>
    </xf>
    <xf numFmtId="0" fontId="28" fillId="0" borderId="1" xfId="0" applyFont="1" applyBorder="1" applyAlignment="1">
      <alignment horizontal="center" vertical="top"/>
    </xf>
    <xf numFmtId="0" fontId="28" fillId="0" borderId="1" xfId="0" applyFont="1" applyBorder="1" applyAlignment="1">
      <alignment horizontal="center" vertical="top" wrapText="1"/>
    </xf>
    <xf numFmtId="0" fontId="28" fillId="0" borderId="1" xfId="0" applyFont="1" applyBorder="1" applyAlignment="1">
      <alignment horizontal="center" vertical="center"/>
    </xf>
    <xf numFmtId="15" fontId="28" fillId="0" borderId="1" xfId="0" applyNumberFormat="1" applyFont="1" applyBorder="1" applyAlignment="1">
      <alignment horizontal="center" vertical="top"/>
    </xf>
    <xf numFmtId="164" fontId="28" fillId="0" borderId="1" xfId="0" applyNumberFormat="1" applyFont="1" applyBorder="1" applyAlignment="1">
      <alignment horizontal="center" vertical="top" wrapText="1"/>
    </xf>
    <xf numFmtId="15" fontId="17" fillId="7" borderId="1" xfId="0" applyNumberFormat="1" applyFont="1" applyFill="1" applyBorder="1" applyAlignment="1">
      <alignment horizontal="center" vertical="top"/>
    </xf>
    <xf numFmtId="15" fontId="12" fillId="7" borderId="1" xfId="0" applyNumberFormat="1" applyFont="1" applyFill="1" applyBorder="1" applyAlignment="1">
      <alignment horizontal="center" vertical="top"/>
    </xf>
    <xf numFmtId="15" fontId="17" fillId="0" borderId="1" xfId="0" applyNumberFormat="1" applyFont="1" applyBorder="1" applyAlignment="1">
      <alignment horizontal="center" vertical="top"/>
    </xf>
    <xf numFmtId="0" fontId="26" fillId="7" borderId="1" xfId="0" applyFont="1" applyFill="1" applyBorder="1" applyAlignment="1">
      <alignment horizontal="center" vertical="top"/>
    </xf>
    <xf numFmtId="15" fontId="26" fillId="7" borderId="1" xfId="0" applyNumberFormat="1" applyFont="1" applyFill="1" applyBorder="1" applyAlignment="1">
      <alignment horizontal="center" vertical="top"/>
    </xf>
    <xf numFmtId="0" fontId="26" fillId="7" borderId="1" xfId="0" applyFont="1" applyFill="1" applyBorder="1" applyAlignment="1">
      <alignment horizontal="center" vertical="top" wrapText="1"/>
    </xf>
    <xf numFmtId="0" fontId="28" fillId="7" borderId="1" xfId="0" applyFont="1" applyFill="1" applyBorder="1" applyAlignment="1">
      <alignment horizontal="center" vertical="top"/>
    </xf>
    <xf numFmtId="0" fontId="28" fillId="7" borderId="1" xfId="0" applyFont="1" applyFill="1" applyBorder="1" applyAlignment="1">
      <alignment horizontal="center" vertical="top" wrapText="1"/>
    </xf>
    <xf numFmtId="0" fontId="28" fillId="7" borderId="1" xfId="0" applyFont="1" applyFill="1" applyBorder="1" applyAlignment="1">
      <alignment horizontal="center" vertical="center"/>
    </xf>
    <xf numFmtId="15" fontId="28" fillId="7" borderId="1" xfId="0" applyNumberFormat="1" applyFont="1" applyFill="1" applyBorder="1" applyAlignment="1">
      <alignment horizontal="center" vertical="top"/>
    </xf>
    <xf numFmtId="164" fontId="28" fillId="7" borderId="1" xfId="0" applyNumberFormat="1" applyFont="1" applyFill="1" applyBorder="1" applyAlignment="1">
      <alignment horizontal="center" vertical="top" wrapText="1"/>
    </xf>
    <xf numFmtId="0" fontId="9" fillId="0" borderId="1" xfId="0" applyFont="1" applyBorder="1" applyAlignment="1">
      <alignment horizontal="center" wrapText="1"/>
    </xf>
    <xf numFmtId="167" fontId="28" fillId="7" borderId="1" xfId="0" applyNumberFormat="1" applyFont="1" applyFill="1" applyBorder="1" applyAlignment="1">
      <alignment horizontal="center" vertical="top" wrapText="1"/>
    </xf>
    <xf numFmtId="167" fontId="28" fillId="0" borderId="1" xfId="0" applyNumberFormat="1" applyFont="1" applyBorder="1" applyAlignment="1">
      <alignment horizontal="center" vertical="top" wrapText="1"/>
    </xf>
    <xf numFmtId="0" fontId="28" fillId="7" borderId="1" xfId="0" applyFont="1" applyFill="1" applyBorder="1" applyAlignment="1">
      <alignment horizontal="center" vertical="center" wrapText="1"/>
    </xf>
    <xf numFmtId="0" fontId="32" fillId="0" borderId="1" xfId="0" applyFont="1" applyBorder="1" applyAlignment="1">
      <alignment horizontal="center" vertical="center"/>
    </xf>
    <xf numFmtId="0" fontId="9" fillId="7" borderId="1" xfId="0" applyFont="1" applyFill="1" applyBorder="1" applyAlignment="1">
      <alignment horizontal="center" wrapText="1"/>
    </xf>
    <xf numFmtId="0" fontId="11" fillId="0" borderId="1" xfId="0" applyFont="1" applyBorder="1" applyAlignment="1">
      <alignment horizontal="center" vertical="top" wrapText="1"/>
    </xf>
    <xf numFmtId="0" fontId="4" fillId="0" borderId="1" xfId="0" applyFont="1" applyBorder="1" applyAlignment="1">
      <alignment horizontal="center" vertical="top" wrapText="1"/>
    </xf>
    <xf numFmtId="0" fontId="35" fillId="7" borderId="1" xfId="0" applyFont="1" applyFill="1" applyBorder="1" applyAlignment="1">
      <alignment horizontal="center" vertical="top"/>
    </xf>
    <xf numFmtId="15" fontId="35" fillId="7" borderId="1" xfId="0" applyNumberFormat="1" applyFont="1" applyFill="1" applyBorder="1" applyAlignment="1">
      <alignment horizontal="center" vertical="top"/>
    </xf>
    <xf numFmtId="0" fontId="35" fillId="7" borderId="1" xfId="0" applyFont="1" applyFill="1" applyBorder="1" applyAlignment="1">
      <alignment horizontal="center" vertical="top" wrapText="1"/>
    </xf>
    <xf numFmtId="0" fontId="38" fillId="7" borderId="1" xfId="0" applyFont="1" applyFill="1" applyBorder="1" applyAlignment="1">
      <alignment horizontal="center" vertical="top"/>
    </xf>
    <xf numFmtId="0" fontId="38" fillId="7" borderId="1" xfId="0" applyFont="1" applyFill="1" applyBorder="1" applyAlignment="1">
      <alignment horizontal="center" vertical="top" wrapText="1"/>
    </xf>
    <xf numFmtId="0" fontId="38" fillId="7" borderId="1" xfId="0" applyFont="1" applyFill="1" applyBorder="1" applyAlignment="1">
      <alignment horizontal="center" vertical="center" wrapText="1"/>
    </xf>
    <xf numFmtId="0" fontId="38" fillId="7"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7" borderId="1" xfId="0" applyFont="1" applyFill="1" applyBorder="1" applyAlignment="1">
      <alignment horizontal="center" vertical="center" wrapText="1"/>
    </xf>
    <xf numFmtId="0" fontId="35" fillId="0" borderId="1" xfId="0" applyFont="1" applyBorder="1" applyAlignment="1">
      <alignment horizontal="center" vertical="top"/>
    </xf>
    <xf numFmtId="15" fontId="35" fillId="0" borderId="1" xfId="0" applyNumberFormat="1" applyFont="1" applyBorder="1" applyAlignment="1">
      <alignment horizontal="center" vertical="top"/>
    </xf>
    <xf numFmtId="0" fontId="35" fillId="0" borderId="1" xfId="0" applyFont="1" applyBorder="1" applyAlignment="1">
      <alignment horizontal="center" vertical="top" wrapText="1"/>
    </xf>
    <xf numFmtId="0" fontId="38" fillId="0" borderId="1" xfId="0" applyFont="1" applyBorder="1" applyAlignment="1">
      <alignment horizontal="center" vertical="top"/>
    </xf>
    <xf numFmtId="0" fontId="38" fillId="0" borderId="1" xfId="0" applyFont="1" applyBorder="1" applyAlignment="1">
      <alignment horizontal="center" vertical="top" wrapText="1"/>
    </xf>
    <xf numFmtId="0" fontId="38" fillId="0" borderId="1" xfId="0" applyFont="1" applyBorder="1" applyAlignment="1">
      <alignment horizontal="center" vertical="center" wrapText="1"/>
    </xf>
    <xf numFmtId="0" fontId="38" fillId="0" borderId="1" xfId="0" applyFont="1" applyBorder="1" applyAlignment="1">
      <alignment horizontal="center" vertical="center"/>
    </xf>
    <xf numFmtId="15" fontId="38" fillId="0" borderId="1" xfId="0" applyNumberFormat="1" applyFont="1" applyBorder="1" applyAlignment="1">
      <alignment horizontal="center" vertical="top"/>
    </xf>
    <xf numFmtId="167" fontId="38" fillId="0" borderId="1" xfId="0" applyNumberFormat="1" applyFont="1" applyBorder="1" applyAlignment="1">
      <alignment horizontal="center" vertical="top" wrapText="1"/>
    </xf>
    <xf numFmtId="164" fontId="38" fillId="0" borderId="1" xfId="0" applyNumberFormat="1" applyFont="1" applyBorder="1" applyAlignment="1">
      <alignment horizontal="center" vertical="top" wrapText="1"/>
    </xf>
    <xf numFmtId="16" fontId="9" fillId="0" borderId="1" xfId="0" applyNumberFormat="1" applyFont="1" applyBorder="1" applyAlignment="1">
      <alignment horizontal="center" vertical="top"/>
    </xf>
    <xf numFmtId="0" fontId="40" fillId="0" borderId="1" xfId="0" applyFont="1" applyBorder="1" applyAlignment="1">
      <alignment horizontal="center" vertical="top"/>
    </xf>
    <xf numFmtId="15" fontId="40" fillId="0" borderId="1" xfId="0" applyNumberFormat="1" applyFont="1" applyBorder="1" applyAlignment="1">
      <alignment horizontal="center" vertical="top"/>
    </xf>
    <xf numFmtId="0" fontId="40" fillId="0" borderId="1" xfId="0" applyFont="1" applyBorder="1" applyAlignment="1">
      <alignment horizontal="center" vertical="top" wrapText="1"/>
    </xf>
    <xf numFmtId="0" fontId="41" fillId="0" borderId="1" xfId="0" applyFont="1" applyBorder="1" applyAlignment="1">
      <alignment horizontal="center" vertical="top"/>
    </xf>
    <xf numFmtId="0" fontId="41" fillId="0" borderId="1" xfId="0" applyFont="1" applyBorder="1" applyAlignment="1">
      <alignment horizontal="center" vertical="top" wrapText="1"/>
    </xf>
    <xf numFmtId="0" fontId="41" fillId="0" borderId="1" xfId="0" applyFont="1" applyBorder="1" applyAlignment="1">
      <alignment horizontal="center" vertical="center" wrapText="1"/>
    </xf>
    <xf numFmtId="0" fontId="41" fillId="0" borderId="1" xfId="0" applyFont="1" applyBorder="1" applyAlignment="1">
      <alignment horizontal="center" vertical="center"/>
    </xf>
    <xf numFmtId="165" fontId="38" fillId="0" borderId="1" xfId="0" applyNumberFormat="1" applyFont="1" applyBorder="1" applyAlignment="1">
      <alignment horizontal="center" vertical="top"/>
    </xf>
    <xf numFmtId="167" fontId="9" fillId="7" borderId="1" xfId="0" applyNumberFormat="1" applyFont="1" applyFill="1" applyBorder="1" applyAlignment="1">
      <alignment horizontal="center" vertical="center" wrapText="1"/>
    </xf>
    <xf numFmtId="0" fontId="23" fillId="0" borderId="1" xfId="0" applyFont="1" applyBorder="1" applyAlignment="1">
      <alignment horizontal="center" vertical="top"/>
    </xf>
    <xf numFmtId="15" fontId="23" fillId="0" borderId="1" xfId="0" applyNumberFormat="1" applyFont="1" applyBorder="1" applyAlignment="1">
      <alignment horizontal="center" vertical="top"/>
    </xf>
    <xf numFmtId="0" fontId="23" fillId="0" borderId="1" xfId="0" applyFont="1" applyBorder="1" applyAlignment="1">
      <alignment horizontal="center" vertical="top" wrapText="1"/>
    </xf>
    <xf numFmtId="167" fontId="4" fillId="0" borderId="1" xfId="0" applyNumberFormat="1" applyFont="1" applyBorder="1" applyAlignment="1">
      <alignment horizontal="center" vertical="top" wrapText="1"/>
    </xf>
    <xf numFmtId="164" fontId="4" fillId="0" borderId="1" xfId="0" applyNumberFormat="1" applyFont="1" applyBorder="1" applyAlignment="1">
      <alignment horizontal="center" vertical="top" wrapText="1"/>
    </xf>
    <xf numFmtId="0" fontId="23" fillId="7" borderId="1" xfId="0" applyFont="1" applyFill="1" applyBorder="1" applyAlignment="1">
      <alignment horizontal="center" vertical="top"/>
    </xf>
    <xf numFmtId="15" fontId="23" fillId="7" borderId="1" xfId="0" applyNumberFormat="1" applyFont="1" applyFill="1" applyBorder="1" applyAlignment="1">
      <alignment horizontal="center" vertical="top"/>
    </xf>
    <xf numFmtId="0" fontId="4" fillId="7" borderId="1" xfId="0" applyFont="1" applyFill="1" applyBorder="1" applyAlignment="1">
      <alignment horizontal="center" vertical="top" wrapText="1"/>
    </xf>
    <xf numFmtId="15" fontId="4" fillId="7" borderId="1" xfId="0" applyNumberFormat="1" applyFont="1" applyFill="1" applyBorder="1" applyAlignment="1">
      <alignment horizontal="center" vertical="top"/>
    </xf>
    <xf numFmtId="167" fontId="4" fillId="7" borderId="1" xfId="0" applyNumberFormat="1" applyFont="1" applyFill="1" applyBorder="1" applyAlignment="1">
      <alignment horizontal="center" vertical="top" wrapText="1"/>
    </xf>
    <xf numFmtId="164" fontId="4" fillId="7" borderId="1" xfId="0" applyNumberFormat="1" applyFont="1" applyFill="1" applyBorder="1" applyAlignment="1">
      <alignment horizontal="center" vertical="top" wrapText="1"/>
    </xf>
    <xf numFmtId="0" fontId="4" fillId="0" borderId="1" xfId="0" applyFont="1" applyBorder="1" applyAlignment="1">
      <alignment horizontal="center" wrapText="1"/>
    </xf>
    <xf numFmtId="15" fontId="0" fillId="7" borderId="1" xfId="0" applyNumberFormat="1" applyFill="1" applyBorder="1" applyAlignment="1">
      <alignment horizontal="center" vertical="top"/>
    </xf>
    <xf numFmtId="164" fontId="0" fillId="7" borderId="1" xfId="0" applyNumberFormat="1" applyFill="1" applyBorder="1" applyAlignment="1">
      <alignment horizontal="center" vertical="top" wrapText="1"/>
    </xf>
    <xf numFmtId="16" fontId="0" fillId="7" borderId="1" xfId="0" applyNumberFormat="1" applyFill="1" applyBorder="1" applyAlignment="1">
      <alignment horizontal="center" vertical="top"/>
    </xf>
    <xf numFmtId="165" fontId="0" fillId="7" borderId="1" xfId="0" applyNumberFormat="1" applyFill="1" applyBorder="1" applyAlignment="1">
      <alignment horizontal="center" vertical="top"/>
    </xf>
    <xf numFmtId="15" fontId="40" fillId="7" borderId="1" xfId="0" applyNumberFormat="1" applyFont="1" applyFill="1" applyBorder="1" applyAlignment="1">
      <alignment horizontal="center" vertical="top"/>
    </xf>
    <xf numFmtId="0" fontId="40" fillId="7" borderId="1" xfId="0" applyFont="1" applyFill="1" applyBorder="1" applyAlignment="1">
      <alignment horizontal="center" vertical="top" wrapText="1"/>
    </xf>
    <xf numFmtId="0" fontId="41" fillId="7" borderId="1" xfId="0" applyFont="1" applyFill="1" applyBorder="1" applyAlignment="1">
      <alignment horizontal="center" vertical="top"/>
    </xf>
    <xf numFmtId="0" fontId="41" fillId="7" borderId="1" xfId="0" applyFont="1" applyFill="1" applyBorder="1" applyAlignment="1">
      <alignment horizontal="center" vertical="top" wrapText="1"/>
    </xf>
    <xf numFmtId="0" fontId="41" fillId="7" borderId="1" xfId="0" applyFont="1" applyFill="1" applyBorder="1" applyAlignment="1">
      <alignment horizontal="center" vertical="center"/>
    </xf>
    <xf numFmtId="15" fontId="25" fillId="7" borderId="1" xfId="0" applyNumberFormat="1" applyFont="1" applyFill="1" applyBorder="1" applyAlignment="1">
      <alignment horizontal="center" vertical="top"/>
    </xf>
    <xf numFmtId="167" fontId="41" fillId="7" borderId="1" xfId="0" applyNumberFormat="1" applyFont="1" applyFill="1" applyBorder="1" applyAlignment="1">
      <alignment horizontal="center" vertical="top" wrapText="1"/>
    </xf>
    <xf numFmtId="164" fontId="41" fillId="7" borderId="1" xfId="0" applyNumberFormat="1" applyFont="1" applyFill="1" applyBorder="1" applyAlignment="1">
      <alignment horizontal="center" vertical="top" wrapText="1"/>
    </xf>
    <xf numFmtId="164" fontId="25" fillId="7" borderId="1" xfId="0" applyNumberFormat="1" applyFont="1" applyFill="1" applyBorder="1" applyAlignment="1">
      <alignment horizontal="center" vertical="top" wrapText="1"/>
    </xf>
    <xf numFmtId="16" fontId="25" fillId="7" borderId="1" xfId="0" applyNumberFormat="1" applyFont="1" applyFill="1" applyBorder="1" applyAlignment="1">
      <alignment horizontal="center" vertical="top"/>
    </xf>
    <xf numFmtId="165" fontId="25" fillId="7" borderId="1" xfId="0" applyNumberFormat="1" applyFont="1" applyFill="1" applyBorder="1" applyAlignment="1">
      <alignment horizontal="center" vertical="top"/>
    </xf>
    <xf numFmtId="0" fontId="0" fillId="7" borderId="1" xfId="0" applyFill="1" applyBorder="1"/>
    <xf numFmtId="167" fontId="4" fillId="8" borderId="1" xfId="0" applyNumberFormat="1" applyFont="1" applyFill="1" applyBorder="1" applyAlignment="1">
      <alignment horizontal="center" vertical="top" wrapText="1"/>
    </xf>
    <xf numFmtId="0" fontId="4" fillId="8" borderId="1" xfId="0" applyFont="1" applyFill="1" applyBorder="1" applyAlignment="1">
      <alignment horizontal="center" vertical="top" wrapText="1"/>
    </xf>
    <xf numFmtId="0" fontId="3" fillId="6" borderId="1" xfId="0" applyFont="1" applyFill="1" applyBorder="1" applyAlignment="1">
      <alignment horizontal="center" vertical="center" wrapText="1"/>
    </xf>
    <xf numFmtId="15" fontId="9" fillId="7" borderId="1" xfId="0" applyNumberFormat="1" applyFont="1" applyFill="1" applyBorder="1" applyAlignment="1">
      <alignment horizontal="center" vertical="center"/>
    </xf>
    <xf numFmtId="15" fontId="9" fillId="0" borderId="1" xfId="0" applyNumberFormat="1" applyFont="1" applyBorder="1" applyAlignment="1">
      <alignment horizontal="center" vertical="center"/>
    </xf>
    <xf numFmtId="0" fontId="15" fillId="7" borderId="1" xfId="0" applyFont="1" applyFill="1" applyBorder="1" applyAlignment="1">
      <alignment horizontal="center" vertical="center" wrapText="1"/>
    </xf>
    <xf numFmtId="15" fontId="15" fillId="7" borderId="1" xfId="0" applyNumberFormat="1" applyFont="1" applyFill="1" applyBorder="1" applyAlignment="1">
      <alignment horizontal="center" vertical="center"/>
    </xf>
    <xf numFmtId="15" fontId="16" fillId="0" borderId="1" xfId="0" applyNumberFormat="1" applyFont="1" applyBorder="1" applyAlignment="1">
      <alignment horizontal="center" vertical="center"/>
    </xf>
    <xf numFmtId="15" fontId="16" fillId="7" borderId="1" xfId="0" applyNumberFormat="1" applyFont="1" applyFill="1" applyBorder="1" applyAlignment="1">
      <alignment horizontal="center" vertical="center"/>
    </xf>
    <xf numFmtId="0" fontId="15" fillId="7" borderId="1" xfId="0" applyFont="1" applyFill="1" applyBorder="1" applyAlignment="1">
      <alignment horizontal="center" vertical="center"/>
    </xf>
    <xf numFmtId="0" fontId="15" fillId="0" borderId="1" xfId="0" applyFont="1" applyBorder="1" applyAlignment="1">
      <alignment horizontal="center" vertical="center"/>
    </xf>
    <xf numFmtId="15" fontId="15" fillId="0" borderId="1" xfId="0" applyNumberFormat="1" applyFont="1" applyBorder="1" applyAlignment="1">
      <alignment horizontal="center" vertical="center"/>
    </xf>
    <xf numFmtId="0" fontId="28" fillId="0" borderId="1" xfId="0" applyFont="1" applyBorder="1" applyAlignment="1">
      <alignment horizontal="center" vertical="center" wrapText="1"/>
    </xf>
    <xf numFmtId="15" fontId="28" fillId="0" borderId="1" xfId="0" applyNumberFormat="1" applyFont="1" applyBorder="1" applyAlignment="1">
      <alignment horizontal="center" vertical="center"/>
    </xf>
    <xf numFmtId="15" fontId="28" fillId="7" borderId="1" xfId="0" applyNumberFormat="1" applyFont="1" applyFill="1" applyBorder="1" applyAlignment="1">
      <alignment horizontal="center" vertical="center"/>
    </xf>
    <xf numFmtId="15" fontId="38" fillId="0" borderId="1" xfId="0" applyNumberFormat="1" applyFont="1" applyBorder="1" applyAlignment="1">
      <alignment horizontal="center" vertical="center"/>
    </xf>
    <xf numFmtId="167" fontId="9" fillId="7" borderId="1" xfId="0" applyNumberFormat="1" applyFont="1" applyFill="1" applyBorder="1" applyAlignment="1">
      <alignment horizontal="center" vertical="center"/>
    </xf>
    <xf numFmtId="15" fontId="9" fillId="7"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5" fontId="4" fillId="0" borderId="1" xfId="0" applyNumberFormat="1" applyFont="1" applyBorder="1" applyAlignment="1">
      <alignment horizontal="center" vertical="center"/>
    </xf>
    <xf numFmtId="0" fontId="4" fillId="7" borderId="1" xfId="0" applyFont="1" applyFill="1" applyBorder="1" applyAlignment="1">
      <alignment horizontal="center" vertical="center" wrapText="1"/>
    </xf>
    <xf numFmtId="15" fontId="4" fillId="7" borderId="1" xfId="0" applyNumberFormat="1" applyFont="1" applyFill="1" applyBorder="1" applyAlignment="1">
      <alignment horizontal="center" vertical="center"/>
    </xf>
    <xf numFmtId="0" fontId="41" fillId="7" borderId="1" xfId="0" applyFont="1" applyFill="1" applyBorder="1" applyAlignment="1">
      <alignment horizontal="center" vertical="center" wrapText="1"/>
    </xf>
    <xf numFmtId="15" fontId="41" fillId="7" borderId="1" xfId="0" applyNumberFormat="1" applyFont="1" applyFill="1" applyBorder="1" applyAlignment="1">
      <alignment horizontal="center" vertical="center"/>
    </xf>
    <xf numFmtId="15" fontId="4" fillId="8" borderId="1" xfId="0" applyNumberFormat="1" applyFont="1" applyFill="1" applyBorder="1" applyAlignment="1">
      <alignment horizontal="center" vertical="center"/>
    </xf>
    <xf numFmtId="0" fontId="0" fillId="0" borderId="0" xfId="0" applyAlignment="1">
      <alignment horizontal="center" vertical="center"/>
    </xf>
    <xf numFmtId="0" fontId="10" fillId="9" borderId="1" xfId="0" applyFont="1" applyFill="1" applyBorder="1" applyAlignment="1">
      <alignment horizontal="center" vertical="top" wrapText="1"/>
    </xf>
    <xf numFmtId="0" fontId="9" fillId="0" borderId="1" xfId="1" applyFont="1" applyBorder="1" applyAlignment="1">
      <alignment horizontal="center" vertical="center" wrapText="1"/>
    </xf>
    <xf numFmtId="0" fontId="18" fillId="7" borderId="1" xfId="0" applyFont="1" applyFill="1" applyBorder="1" applyAlignment="1">
      <alignment horizontal="center" vertical="center" wrapText="1"/>
    </xf>
    <xf numFmtId="0" fontId="3" fillId="0" borderId="1" xfId="1" applyFont="1" applyBorder="1" applyAlignment="1">
      <alignment horizontal="center" vertical="center" wrapText="1"/>
    </xf>
    <xf numFmtId="0" fontId="23" fillId="0" borderId="1" xfId="0" applyFont="1" applyBorder="1" applyAlignment="1">
      <alignment horizontal="center" vertical="center" wrapText="1"/>
    </xf>
    <xf numFmtId="15" fontId="16" fillId="8" borderId="1" xfId="0" applyNumberFormat="1" applyFont="1" applyFill="1" applyBorder="1" applyAlignment="1">
      <alignment horizontal="center" vertical="center"/>
    </xf>
    <xf numFmtId="166" fontId="16" fillId="0" borderId="1" xfId="0" applyNumberFormat="1" applyFont="1" applyBorder="1" applyAlignment="1">
      <alignment horizontal="center" vertical="top"/>
    </xf>
    <xf numFmtId="0" fontId="36" fillId="7" borderId="1" xfId="0" applyFont="1" applyFill="1" applyBorder="1" applyAlignment="1">
      <alignment horizontal="center" vertical="center" wrapText="1"/>
    </xf>
    <xf numFmtId="15" fontId="9" fillId="0" borderId="1" xfId="0" applyNumberFormat="1" applyFont="1" applyBorder="1" applyAlignment="1">
      <alignment horizontal="center" vertical="center" wrapText="1"/>
    </xf>
    <xf numFmtId="15" fontId="17" fillId="0" borderId="1" xfId="0" applyNumberFormat="1" applyFont="1" applyBorder="1" applyAlignment="1">
      <alignment horizontal="center" vertical="top" wrapText="1"/>
    </xf>
    <xf numFmtId="15" fontId="38" fillId="8" borderId="1" xfId="0" applyNumberFormat="1" applyFont="1" applyFill="1" applyBorder="1" applyAlignment="1">
      <alignment horizontal="center" vertical="center"/>
    </xf>
    <xf numFmtId="16" fontId="38" fillId="0" borderId="1" xfId="0" applyNumberFormat="1" applyFont="1" applyBorder="1" applyAlignment="1">
      <alignment horizontal="center" vertical="top"/>
    </xf>
    <xf numFmtId="166" fontId="38" fillId="0" borderId="1" xfId="0" applyNumberFormat="1" applyFont="1" applyBorder="1" applyAlignment="1">
      <alignment horizontal="center" vertical="top"/>
    </xf>
    <xf numFmtId="15" fontId="23" fillId="0" borderId="1" xfId="0" applyNumberFormat="1" applyFont="1" applyBorder="1" applyAlignment="1">
      <alignment horizontal="center" vertical="top" wrapText="1"/>
    </xf>
    <xf numFmtId="0" fontId="9" fillId="0" borderId="1" xfId="1" applyFont="1" applyBorder="1" applyAlignment="1">
      <alignment horizontal="center" vertical="top" wrapText="1"/>
    </xf>
    <xf numFmtId="15" fontId="9" fillId="8" borderId="1" xfId="0" applyNumberFormat="1" applyFont="1" applyFill="1" applyBorder="1" applyAlignment="1">
      <alignment horizontal="center" vertical="center"/>
    </xf>
    <xf numFmtId="0" fontId="9" fillId="0" borderId="0" xfId="0" applyFont="1"/>
    <xf numFmtId="15" fontId="9" fillId="8" borderId="1" xfId="0" applyNumberFormat="1" applyFont="1" applyFill="1" applyBorder="1" applyAlignment="1">
      <alignment horizontal="center" vertical="center" wrapText="1"/>
    </xf>
    <xf numFmtId="15" fontId="35" fillId="0" borderId="1" xfId="0" applyNumberFormat="1" applyFont="1" applyBorder="1" applyAlignment="1">
      <alignment horizontal="center" vertical="top" wrapText="1"/>
    </xf>
    <xf numFmtId="166" fontId="23" fillId="0" borderId="1" xfId="0" applyNumberFormat="1" applyFont="1" applyBorder="1" applyAlignment="1">
      <alignment horizontal="center" vertical="top"/>
    </xf>
    <xf numFmtId="166" fontId="17" fillId="0" borderId="1" xfId="0" applyNumberFormat="1" applyFont="1" applyBorder="1" applyAlignment="1">
      <alignment horizontal="center" vertical="top" wrapText="1"/>
    </xf>
    <xf numFmtId="166" fontId="35" fillId="0" borderId="1" xfId="0" applyNumberFormat="1" applyFont="1" applyBorder="1" applyAlignment="1">
      <alignment horizontal="center" vertical="top"/>
    </xf>
    <xf numFmtId="166" fontId="23" fillId="0" borderId="1" xfId="0" applyNumberFormat="1" applyFont="1" applyBorder="1" applyAlignment="1">
      <alignment horizontal="center" vertical="top" wrapText="1"/>
    </xf>
    <xf numFmtId="0" fontId="38" fillId="0" borderId="0" xfId="0" applyFont="1"/>
    <xf numFmtId="0" fontId="9" fillId="0" borderId="0" xfId="0" applyFont="1" applyAlignment="1">
      <alignment horizontal="center" vertical="center"/>
    </xf>
    <xf numFmtId="0" fontId="8" fillId="0" borderId="0" xfId="0" applyFont="1" applyAlignment="1">
      <alignment horizontal="center" vertical="center"/>
    </xf>
    <xf numFmtId="166" fontId="4" fillId="7" borderId="1" xfId="0" applyNumberFormat="1" applyFont="1" applyFill="1" applyBorder="1" applyAlignment="1">
      <alignment horizontal="center" vertical="top"/>
    </xf>
    <xf numFmtId="166" fontId="9" fillId="7" borderId="1" xfId="0" applyNumberFormat="1" applyFont="1" applyFill="1" applyBorder="1" applyAlignment="1">
      <alignment horizontal="center" vertical="top"/>
    </xf>
    <xf numFmtId="0" fontId="16" fillId="0" borderId="1" xfId="1" applyFont="1" applyBorder="1" applyAlignment="1">
      <alignment horizontal="center" vertical="top" wrapText="1"/>
    </xf>
    <xf numFmtId="167" fontId="38" fillId="0" borderId="1" xfId="0" applyNumberFormat="1" applyFont="1" applyBorder="1" applyAlignment="1">
      <alignment horizontal="center" vertical="center" wrapText="1"/>
    </xf>
    <xf numFmtId="164" fontId="38" fillId="0" borderId="1" xfId="0" applyNumberFormat="1" applyFont="1" applyBorder="1" applyAlignment="1">
      <alignment horizontal="center" vertical="center" wrapText="1"/>
    </xf>
    <xf numFmtId="0" fontId="16" fillId="0" borderId="1" xfId="5" applyFont="1" applyBorder="1" applyAlignment="1">
      <alignment horizontal="center" vertical="top" wrapText="1"/>
    </xf>
    <xf numFmtId="0" fontId="9" fillId="0" borderId="1" xfId="5" applyFont="1" applyBorder="1" applyAlignment="1">
      <alignment horizontal="center" vertical="top" wrapText="1"/>
    </xf>
    <xf numFmtId="0" fontId="75" fillId="7" borderId="1" xfId="0" applyFont="1" applyFill="1" applyBorder="1" applyAlignment="1">
      <alignment horizontal="center" vertical="top" wrapText="1"/>
    </xf>
    <xf numFmtId="0" fontId="75" fillId="0" borderId="1" xfId="0" applyFont="1" applyBorder="1" applyAlignment="1">
      <alignment horizontal="center" vertical="top" wrapText="1"/>
    </xf>
    <xf numFmtId="0" fontId="36" fillId="7" borderId="1" xfId="0" applyFont="1" applyFill="1" applyBorder="1" applyAlignment="1">
      <alignment horizontal="center" vertical="top" wrapText="1"/>
    </xf>
    <xf numFmtId="0" fontId="76" fillId="0" borderId="1" xfId="0" applyFont="1" applyBorder="1" applyAlignment="1">
      <alignment horizontal="center" vertical="top" wrapText="1"/>
    </xf>
    <xf numFmtId="0" fontId="76" fillId="7" borderId="1" xfId="0" applyFont="1" applyFill="1" applyBorder="1" applyAlignment="1">
      <alignment horizontal="center" vertical="top" wrapText="1"/>
    </xf>
    <xf numFmtId="0" fontId="45" fillId="0" borderId="1" xfId="0" applyFont="1" applyBorder="1" applyAlignment="1">
      <alignment horizontal="center" vertical="top" wrapText="1"/>
    </xf>
    <xf numFmtId="0" fontId="77" fillId="7" borderId="1" xfId="0" applyFont="1" applyFill="1" applyBorder="1" applyAlignment="1">
      <alignment horizontal="center" vertical="top" wrapText="1"/>
    </xf>
    <xf numFmtId="0" fontId="77" fillId="0" borderId="1" xfId="0" applyFont="1" applyBorder="1" applyAlignment="1">
      <alignment horizontal="center" vertical="top" wrapText="1"/>
    </xf>
    <xf numFmtId="0" fontId="36" fillId="0" borderId="1" xfId="0" applyFont="1" applyBorder="1" applyAlignment="1">
      <alignment horizontal="center" vertical="top" wrapText="1"/>
    </xf>
    <xf numFmtId="0" fontId="21" fillId="0" borderId="1" xfId="0" applyFont="1" applyBorder="1" applyAlignment="1">
      <alignment horizontal="center" vertical="top" wrapText="1"/>
    </xf>
    <xf numFmtId="0" fontId="9" fillId="10" borderId="1" xfId="0" applyFont="1" applyFill="1" applyBorder="1" applyAlignment="1">
      <alignment horizontal="center" vertical="top" wrapText="1"/>
    </xf>
    <xf numFmtId="0" fontId="15" fillId="10" borderId="1" xfId="0" applyFont="1" applyFill="1" applyBorder="1" applyAlignment="1">
      <alignment horizontal="center" vertical="top" wrapText="1"/>
    </xf>
    <xf numFmtId="0" fontId="16" fillId="10" borderId="1" xfId="0" applyFont="1" applyFill="1" applyBorder="1" applyAlignment="1">
      <alignment horizontal="center" vertical="top" wrapText="1"/>
    </xf>
    <xf numFmtId="0" fontId="10" fillId="0" borderId="3" xfId="0" applyFont="1" applyBorder="1" applyAlignment="1">
      <alignment horizontal="center" vertical="top" wrapText="1"/>
    </xf>
    <xf numFmtId="0" fontId="4" fillId="0" borderId="3" xfId="0" applyFont="1" applyBorder="1" applyAlignment="1">
      <alignment horizontal="center" vertical="center"/>
    </xf>
    <xf numFmtId="168" fontId="23" fillId="0" borderId="1" xfId="0" applyNumberFormat="1" applyFont="1" applyBorder="1" applyAlignment="1">
      <alignment horizontal="center" vertical="top" wrapText="1"/>
    </xf>
    <xf numFmtId="0" fontId="4" fillId="0" borderId="1" xfId="0" applyFont="1" applyBorder="1" applyAlignment="1">
      <alignment vertical="center"/>
    </xf>
    <xf numFmtId="167" fontId="9" fillId="0" borderId="1" xfId="0" applyNumberFormat="1" applyFont="1" applyBorder="1" applyAlignment="1">
      <alignment horizontal="center" vertical="center"/>
    </xf>
    <xf numFmtId="0" fontId="23" fillId="0" borderId="1" xfId="0" applyFont="1" applyBorder="1" applyAlignment="1">
      <alignment horizontal="center" vertical="center"/>
    </xf>
    <xf numFmtId="167" fontId="3" fillId="6" borderId="1" xfId="0" applyNumberFormat="1" applyFont="1" applyFill="1" applyBorder="1" applyAlignment="1">
      <alignment horizontal="center" vertical="center" wrapText="1"/>
    </xf>
    <xf numFmtId="167" fontId="9" fillId="0" borderId="1" xfId="0" applyNumberFormat="1" applyFont="1" applyBorder="1" applyAlignment="1">
      <alignment horizontal="center" vertical="center" wrapText="1"/>
    </xf>
    <xf numFmtId="167" fontId="15" fillId="7" borderId="1" xfId="0" applyNumberFormat="1" applyFont="1" applyFill="1" applyBorder="1" applyAlignment="1">
      <alignment horizontal="center" vertical="center"/>
    </xf>
    <xf numFmtId="167" fontId="16" fillId="7" borderId="1" xfId="0" applyNumberFormat="1" applyFont="1" applyFill="1" applyBorder="1" applyAlignment="1">
      <alignment horizontal="center" vertical="center" wrapText="1"/>
    </xf>
    <xf numFmtId="167" fontId="16" fillId="0" borderId="1" xfId="0" applyNumberFormat="1" applyFont="1" applyBorder="1" applyAlignment="1">
      <alignment horizontal="center" vertical="center" wrapText="1"/>
    </xf>
    <xf numFmtId="167" fontId="15" fillId="0" borderId="1" xfId="0" applyNumberFormat="1" applyFont="1" applyBorder="1" applyAlignment="1">
      <alignment horizontal="center" vertical="center"/>
    </xf>
    <xf numFmtId="167" fontId="16" fillId="0" borderId="1" xfId="0" applyNumberFormat="1" applyFont="1" applyBorder="1" applyAlignment="1">
      <alignment horizontal="center" vertical="center"/>
    </xf>
    <xf numFmtId="167" fontId="16" fillId="7" borderId="1" xfId="0" applyNumberFormat="1" applyFont="1" applyFill="1" applyBorder="1" applyAlignment="1">
      <alignment horizontal="center" vertical="center"/>
    </xf>
    <xf numFmtId="167" fontId="28" fillId="0" borderId="1" xfId="0" applyNumberFormat="1" applyFont="1" applyBorder="1" applyAlignment="1">
      <alignment horizontal="center" vertical="center"/>
    </xf>
    <xf numFmtId="167" fontId="15" fillId="0" borderId="1" xfId="0" applyNumberFormat="1" applyFont="1" applyBorder="1" applyAlignment="1">
      <alignment horizontal="center" vertical="center" wrapText="1"/>
    </xf>
    <xf numFmtId="167" fontId="15" fillId="9" borderId="1" xfId="0" applyNumberFormat="1" applyFont="1" applyFill="1" applyBorder="1" applyAlignment="1">
      <alignment horizontal="center" vertical="center" wrapText="1"/>
    </xf>
    <xf numFmtId="167" fontId="16" fillId="9" borderId="1" xfId="0" applyNumberFormat="1" applyFont="1" applyFill="1" applyBorder="1" applyAlignment="1">
      <alignment horizontal="center" vertical="center"/>
    </xf>
    <xf numFmtId="167" fontId="28" fillId="7" borderId="1" xfId="0" applyNumberFormat="1" applyFont="1" applyFill="1" applyBorder="1" applyAlignment="1">
      <alignment horizontal="center" vertical="center"/>
    </xf>
    <xf numFmtId="167" fontId="28" fillId="0" borderId="1" xfId="0" applyNumberFormat="1" applyFont="1" applyBorder="1" applyAlignment="1">
      <alignment horizontal="center" vertical="center" wrapText="1"/>
    </xf>
    <xf numFmtId="167" fontId="38" fillId="7" borderId="1" xfId="0" applyNumberFormat="1" applyFont="1" applyFill="1" applyBorder="1" applyAlignment="1">
      <alignment horizontal="center" vertical="center" wrapText="1"/>
    </xf>
    <xf numFmtId="167" fontId="41" fillId="0" borderId="1" xfId="0" applyNumberFormat="1" applyFont="1" applyBorder="1" applyAlignment="1">
      <alignment horizontal="center" vertical="center" wrapText="1"/>
    </xf>
    <xf numFmtId="167" fontId="4" fillId="0" borderId="1" xfId="0" applyNumberFormat="1" applyFont="1" applyBorder="1" applyAlignment="1">
      <alignment horizontal="center" vertical="center" wrapText="1"/>
    </xf>
    <xf numFmtId="167" fontId="4" fillId="7" borderId="1" xfId="0" applyNumberFormat="1" applyFont="1" applyFill="1" applyBorder="1" applyAlignment="1">
      <alignment horizontal="center" vertical="center" wrapText="1"/>
    </xf>
    <xf numFmtId="0" fontId="0" fillId="0" borderId="0" xfId="0" applyAlignment="1">
      <alignment vertical="center"/>
    </xf>
    <xf numFmtId="167" fontId="8" fillId="0" borderId="0" xfId="0" applyNumberFormat="1" applyFont="1" applyAlignment="1">
      <alignment horizontal="center" vertical="center"/>
    </xf>
    <xf numFmtId="166" fontId="4" fillId="7"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166" fontId="38" fillId="0" borderId="1" xfId="0" applyNumberFormat="1" applyFont="1" applyBorder="1" applyAlignment="1">
      <alignment horizontal="center" vertical="center"/>
    </xf>
    <xf numFmtId="166" fontId="9"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65" fontId="9" fillId="7" borderId="1" xfId="0" applyNumberFormat="1" applyFont="1" applyFill="1" applyBorder="1" applyAlignment="1">
      <alignment horizontal="center" vertical="center"/>
    </xf>
    <xf numFmtId="165" fontId="9" fillId="0" borderId="1" xfId="0" applyNumberFormat="1" applyFont="1" applyBorder="1" applyAlignment="1">
      <alignment horizontal="center" vertical="center"/>
    </xf>
    <xf numFmtId="165" fontId="38" fillId="0" borderId="1" xfId="0" applyNumberFormat="1" applyFont="1" applyBorder="1" applyAlignment="1">
      <alignment horizontal="center" vertical="center"/>
    </xf>
    <xf numFmtId="0" fontId="4" fillId="0" borderId="0" xfId="0" applyFont="1" applyAlignment="1">
      <alignment horizontal="center" vertical="center"/>
    </xf>
    <xf numFmtId="16" fontId="4" fillId="0" borderId="1" xfId="0" applyNumberFormat="1" applyFont="1" applyBorder="1" applyAlignment="1">
      <alignment horizontal="center" vertical="center"/>
    </xf>
    <xf numFmtId="16" fontId="4" fillId="7" borderId="1" xfId="0" applyNumberFormat="1" applyFont="1" applyFill="1" applyBorder="1" applyAlignment="1">
      <alignment horizontal="center" vertical="center"/>
    </xf>
    <xf numFmtId="16" fontId="9" fillId="0" borderId="1" xfId="0" applyNumberFormat="1" applyFont="1" applyBorder="1" applyAlignment="1">
      <alignment horizontal="center" vertical="center"/>
    </xf>
    <xf numFmtId="16" fontId="38" fillId="0" borderId="1" xfId="0" applyNumberFormat="1" applyFont="1" applyBorder="1" applyAlignment="1">
      <alignment horizontal="center" vertical="center"/>
    </xf>
    <xf numFmtId="0" fontId="2" fillId="0" borderId="0" xfId="0" applyFont="1" applyAlignment="1">
      <alignment horizontal="center" vertical="center"/>
    </xf>
    <xf numFmtId="164" fontId="9" fillId="7" borderId="1" xfId="0" applyNumberFormat="1" applyFont="1" applyFill="1" applyBorder="1" applyAlignment="1">
      <alignment horizontal="center" vertical="center"/>
    </xf>
    <xf numFmtId="164" fontId="9" fillId="0" borderId="1" xfId="0" applyNumberFormat="1" applyFont="1" applyBorder="1" applyAlignment="1">
      <alignment horizontal="center" vertical="center"/>
    </xf>
    <xf numFmtId="164" fontId="9" fillId="0" borderId="1" xfId="0" applyNumberFormat="1" applyFont="1" applyBorder="1" applyAlignment="1">
      <alignment horizontal="center" vertical="center" wrapText="1"/>
    </xf>
    <xf numFmtId="164" fontId="9" fillId="7" borderId="1" xfId="0" applyNumberFormat="1" applyFont="1" applyFill="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6" fillId="7" borderId="1" xfId="0" applyNumberFormat="1" applyFont="1" applyFill="1" applyBorder="1" applyAlignment="1">
      <alignment horizontal="center" vertical="center"/>
    </xf>
    <xf numFmtId="164" fontId="16" fillId="0" borderId="1" xfId="0" applyNumberFormat="1" applyFont="1" applyBorder="1" applyAlignment="1">
      <alignment horizontal="center" vertical="center"/>
    </xf>
    <xf numFmtId="164" fontId="15" fillId="7" borderId="1" xfId="0" applyNumberFormat="1" applyFont="1" applyFill="1" applyBorder="1" applyAlignment="1">
      <alignment horizontal="center" vertical="center"/>
    </xf>
    <xf numFmtId="164" fontId="15" fillId="0" borderId="1" xfId="0" applyNumberFormat="1" applyFont="1" applyBorder="1" applyAlignment="1">
      <alignment horizontal="center" vertical="center" wrapText="1"/>
    </xf>
    <xf numFmtId="164" fontId="16" fillId="0" borderId="1" xfId="0" applyNumberFormat="1" applyFont="1" applyBorder="1" applyAlignment="1">
      <alignment horizontal="center" vertical="center" wrapText="1"/>
    </xf>
    <xf numFmtId="164" fontId="16" fillId="7" borderId="1" xfId="0" applyNumberFormat="1" applyFont="1" applyFill="1" applyBorder="1" applyAlignment="1">
      <alignment horizontal="center" vertical="center" wrapText="1"/>
    </xf>
    <xf numFmtId="164" fontId="15" fillId="0" borderId="1" xfId="0" applyNumberFormat="1" applyFont="1" applyBorder="1" applyAlignment="1">
      <alignment horizontal="center" vertical="center"/>
    </xf>
    <xf numFmtId="164" fontId="28" fillId="0" borderId="1" xfId="0" applyNumberFormat="1" applyFont="1" applyBorder="1" applyAlignment="1">
      <alignment horizontal="center" vertical="center" wrapText="1"/>
    </xf>
    <xf numFmtId="164" fontId="28" fillId="7" borderId="1" xfId="0" applyNumberFormat="1" applyFont="1" applyFill="1" applyBorder="1" applyAlignment="1">
      <alignment horizontal="center" vertical="center" wrapText="1"/>
    </xf>
    <xf numFmtId="164" fontId="38" fillId="7" borderId="1" xfId="0" applyNumberFormat="1" applyFont="1" applyFill="1" applyBorder="1" applyAlignment="1">
      <alignment horizontal="center" vertical="center" wrapText="1"/>
    </xf>
    <xf numFmtId="164" fontId="41"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7" borderId="1" xfId="0" applyNumberFormat="1" applyFont="1" applyFill="1" applyBorder="1" applyAlignment="1">
      <alignment horizontal="center" vertical="center" wrapText="1"/>
    </xf>
    <xf numFmtId="164" fontId="25" fillId="0" borderId="1" xfId="0" applyNumberFormat="1" applyFont="1" applyBorder="1" applyAlignment="1">
      <alignment horizontal="center" vertical="center" wrapText="1"/>
    </xf>
    <xf numFmtId="164" fontId="39" fillId="0" borderId="1" xfId="0" applyNumberFormat="1" applyFont="1" applyBorder="1" applyAlignment="1">
      <alignment horizontal="center" vertical="center" wrapText="1"/>
    </xf>
    <xf numFmtId="164" fontId="72" fillId="0" borderId="1" xfId="0" applyNumberFormat="1" applyFont="1" applyBorder="1" applyAlignment="1">
      <alignment horizontal="center" vertical="center" wrapText="1"/>
    </xf>
    <xf numFmtId="8" fontId="4" fillId="0" borderId="1" xfId="0" applyNumberFormat="1" applyFont="1" applyBorder="1" applyAlignment="1">
      <alignment horizontal="center" vertical="center"/>
    </xf>
    <xf numFmtId="6" fontId="4" fillId="0" borderId="1" xfId="0" applyNumberFormat="1" applyFont="1" applyBorder="1" applyAlignment="1">
      <alignment horizontal="center" vertical="center"/>
    </xf>
    <xf numFmtId="0" fontId="8" fillId="0" borderId="0" xfId="0" applyFont="1" applyAlignment="1">
      <alignment vertical="center"/>
    </xf>
    <xf numFmtId="0" fontId="15" fillId="9"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22" fillId="7" borderId="1" xfId="0" applyFont="1" applyFill="1" applyBorder="1" applyAlignment="1">
      <alignment horizontal="center" vertical="center" wrapText="1"/>
    </xf>
    <xf numFmtId="0" fontId="33" fillId="0" borderId="1" xfId="0" applyFont="1" applyBorder="1" applyAlignment="1">
      <alignment horizontal="center" vertical="center"/>
    </xf>
    <xf numFmtId="0" fontId="33" fillId="7" borderId="1" xfId="0" applyFont="1" applyFill="1" applyBorder="1" applyAlignment="1">
      <alignment horizontal="center" vertical="center" wrapText="1"/>
    </xf>
    <xf numFmtId="0" fontId="3" fillId="6" borderId="1" xfId="0" applyFont="1" applyFill="1" applyBorder="1" applyAlignment="1">
      <alignment horizontal="center" vertical="top"/>
    </xf>
    <xf numFmtId="0" fontId="78" fillId="0" borderId="0" xfId="0" applyFont="1" applyAlignment="1">
      <alignment horizontal="center" vertical="top"/>
    </xf>
    <xf numFmtId="0" fontId="7" fillId="0" borderId="0" xfId="0" applyFont="1" applyAlignment="1">
      <alignment horizontal="center" vertical="top"/>
    </xf>
    <xf numFmtId="0" fontId="3" fillId="0" borderId="1" xfId="1" applyFont="1" applyBorder="1" applyAlignment="1">
      <alignment horizontal="center" vertical="top" wrapText="1"/>
    </xf>
    <xf numFmtId="0" fontId="0" fillId="0" borderId="0" xfId="0" applyAlignment="1">
      <alignment horizontal="center" vertical="top"/>
    </xf>
    <xf numFmtId="0" fontId="8" fillId="0" borderId="0" xfId="0" applyFont="1" applyAlignment="1">
      <alignment horizontal="center" vertical="top"/>
    </xf>
    <xf numFmtId="0" fontId="3" fillId="6" borderId="1" xfId="0" applyFont="1" applyFill="1" applyBorder="1" applyAlignment="1">
      <alignment horizontal="center" vertical="top" wrapText="1"/>
    </xf>
    <xf numFmtId="0" fontId="6" fillId="0" borderId="0" xfId="0" applyFont="1" applyAlignment="1">
      <alignment horizontal="center" vertical="top"/>
    </xf>
    <xf numFmtId="15" fontId="23" fillId="0" borderId="1" xfId="0" applyNumberFormat="1" applyFont="1" applyBorder="1" applyAlignment="1">
      <alignment horizontal="center" vertical="center"/>
    </xf>
    <xf numFmtId="0" fontId="17" fillId="4" borderId="1" xfId="0" applyFont="1" applyFill="1" applyBorder="1" applyAlignment="1">
      <alignment horizontal="center" vertical="top"/>
    </xf>
    <xf numFmtId="0" fontId="18" fillId="4" borderId="1" xfId="0" applyFont="1" applyFill="1" applyBorder="1" applyAlignment="1">
      <alignment horizontal="center" vertical="top" wrapText="1"/>
    </xf>
    <xf numFmtId="0" fontId="16" fillId="4" borderId="1" xfId="0" applyFont="1" applyFill="1" applyBorder="1" applyAlignment="1">
      <alignment horizontal="center" vertical="top"/>
    </xf>
    <xf numFmtId="0" fontId="16" fillId="4" borderId="1" xfId="0" applyFont="1" applyFill="1" applyBorder="1" applyAlignment="1">
      <alignment horizontal="center" vertical="top" wrapText="1"/>
    </xf>
    <xf numFmtId="167" fontId="16" fillId="4" borderId="1" xfId="0" applyNumberFormat="1" applyFont="1" applyFill="1" applyBorder="1" applyAlignment="1">
      <alignment horizontal="center" vertical="top"/>
    </xf>
    <xf numFmtId="164" fontId="16" fillId="4" borderId="1" xfId="0" applyNumberFormat="1" applyFont="1" applyFill="1" applyBorder="1" applyAlignment="1">
      <alignment horizontal="center" vertical="top" wrapText="1"/>
    </xf>
    <xf numFmtId="0" fontId="1" fillId="4" borderId="0" xfId="0" applyFont="1" applyFill="1" applyAlignment="1">
      <alignment vertical="top"/>
    </xf>
    <xf numFmtId="0" fontId="3" fillId="8" borderId="1" xfId="0" applyFont="1" applyFill="1" applyBorder="1" applyAlignment="1">
      <alignment horizontal="center" vertical="top" wrapText="1"/>
    </xf>
    <xf numFmtId="15" fontId="3" fillId="8" borderId="1" xfId="0" applyNumberFormat="1" applyFont="1" applyFill="1" applyBorder="1" applyAlignment="1">
      <alignment horizontal="center" vertical="top"/>
    </xf>
    <xf numFmtId="0" fontId="10" fillId="8" borderId="1" xfId="0" applyFont="1" applyFill="1" applyBorder="1" applyAlignment="1">
      <alignment horizontal="center" vertical="top" wrapText="1"/>
    </xf>
    <xf numFmtId="0" fontId="9" fillId="8" borderId="1" xfId="0" applyFont="1" applyFill="1" applyBorder="1" applyAlignment="1">
      <alignment horizontal="center" vertical="top"/>
    </xf>
    <xf numFmtId="0" fontId="9" fillId="8" borderId="1" xfId="0" applyFont="1" applyFill="1" applyBorder="1" applyAlignment="1">
      <alignment horizontal="center" vertical="top" wrapText="1"/>
    </xf>
    <xf numFmtId="0" fontId="9" fillId="8" borderId="1" xfId="0" applyFont="1" applyFill="1" applyBorder="1" applyAlignment="1">
      <alignment horizontal="center" vertical="center"/>
    </xf>
    <xf numFmtId="0" fontId="9" fillId="8" borderId="1" xfId="0" applyFont="1" applyFill="1" applyBorder="1" applyAlignment="1">
      <alignment horizontal="center" vertical="center" wrapText="1"/>
    </xf>
    <xf numFmtId="164" fontId="9" fillId="8" borderId="1" xfId="0" applyNumberFormat="1" applyFont="1" applyFill="1" applyBorder="1" applyAlignment="1">
      <alignment horizontal="center" vertical="top" wrapText="1"/>
    </xf>
    <xf numFmtId="0" fontId="25" fillId="4" borderId="0" xfId="0" applyFont="1" applyFill="1"/>
    <xf numFmtId="0" fontId="3" fillId="8" borderId="1" xfId="0" applyFont="1" applyFill="1" applyBorder="1" applyAlignment="1">
      <alignment horizontal="center" vertical="top"/>
    </xf>
    <xf numFmtId="167" fontId="9" fillId="8" borderId="1" xfId="0" applyNumberFormat="1" applyFont="1" applyFill="1" applyBorder="1" applyAlignment="1">
      <alignment horizontal="center" vertical="top" wrapText="1"/>
    </xf>
    <xf numFmtId="164" fontId="16" fillId="8" borderId="1" xfId="0" applyNumberFormat="1" applyFont="1" applyFill="1" applyBorder="1" applyAlignment="1">
      <alignment horizontal="center" vertical="top" wrapText="1"/>
    </xf>
    <xf numFmtId="0" fontId="8" fillId="4" borderId="0" xfId="0" applyFont="1" applyFill="1" applyAlignment="1">
      <alignment vertical="top"/>
    </xf>
    <xf numFmtId="0" fontId="26" fillId="11" borderId="1" xfId="0" applyFont="1" applyFill="1" applyBorder="1" applyAlignment="1">
      <alignment horizontal="center" vertical="top"/>
    </xf>
    <xf numFmtId="15" fontId="26" fillId="11" borderId="1" xfId="0" applyNumberFormat="1" applyFont="1" applyFill="1" applyBorder="1" applyAlignment="1">
      <alignment horizontal="center" vertical="top"/>
    </xf>
    <xf numFmtId="0" fontId="26" fillId="11" borderId="1" xfId="0" applyFont="1" applyFill="1" applyBorder="1" applyAlignment="1">
      <alignment horizontal="center" vertical="top" wrapText="1"/>
    </xf>
    <xf numFmtId="0" fontId="75" fillId="11" borderId="1" xfId="0" applyFont="1" applyFill="1" applyBorder="1" applyAlignment="1">
      <alignment horizontal="center" vertical="top" wrapText="1"/>
    </xf>
    <xf numFmtId="0" fontId="28" fillId="11" borderId="1" xfId="0" applyFont="1" applyFill="1" applyBorder="1" applyAlignment="1">
      <alignment horizontal="center" vertical="top"/>
    </xf>
    <xf numFmtId="0" fontId="28" fillId="11" borderId="1" xfId="0" applyFont="1" applyFill="1" applyBorder="1" applyAlignment="1">
      <alignment horizontal="center" vertical="top" wrapText="1"/>
    </xf>
    <xf numFmtId="0" fontId="28" fillId="11" borderId="1" xfId="0" applyFont="1" applyFill="1" applyBorder="1" applyAlignment="1">
      <alignment horizontal="center" vertical="center" wrapText="1"/>
    </xf>
    <xf numFmtId="0" fontId="28" fillId="11" borderId="1" xfId="0" applyFont="1" applyFill="1" applyBorder="1" applyAlignment="1">
      <alignment horizontal="center" vertical="center"/>
    </xf>
    <xf numFmtId="0" fontId="38" fillId="11" borderId="1" xfId="0" applyFont="1" applyFill="1" applyBorder="1" applyAlignment="1">
      <alignment horizontal="center" vertical="top" wrapText="1"/>
    </xf>
    <xf numFmtId="164" fontId="28" fillId="11" borderId="1" xfId="0" applyNumberFormat="1" applyFont="1" applyFill="1" applyBorder="1" applyAlignment="1">
      <alignment horizontal="center" vertical="top" wrapText="1"/>
    </xf>
    <xf numFmtId="0" fontId="0" fillId="12" borderId="0" xfId="0" applyFill="1"/>
    <xf numFmtId="0" fontId="23" fillId="8" borderId="1" xfId="0" applyFont="1" applyFill="1" applyBorder="1" applyAlignment="1">
      <alignment horizontal="center" vertical="top"/>
    </xf>
    <xf numFmtId="15" fontId="23" fillId="8" borderId="1" xfId="0" applyNumberFormat="1" applyFont="1" applyFill="1" applyBorder="1" applyAlignment="1">
      <alignment horizontal="center" vertical="top"/>
    </xf>
    <xf numFmtId="0" fontId="23" fillId="8" borderId="1" xfId="0" applyFont="1" applyFill="1" applyBorder="1" applyAlignment="1">
      <alignment horizontal="center" vertical="top" wrapText="1"/>
    </xf>
    <xf numFmtId="0" fontId="4" fillId="8" borderId="1" xfId="0" applyFont="1" applyFill="1" applyBorder="1" applyAlignment="1">
      <alignment horizontal="center" vertical="top"/>
    </xf>
    <xf numFmtId="0" fontId="4" fillId="8" borderId="1" xfId="0" applyFont="1" applyFill="1" applyBorder="1" applyAlignment="1">
      <alignment horizontal="center" vertical="center"/>
    </xf>
    <xf numFmtId="0" fontId="4" fillId="8" borderId="1" xfId="0" applyFont="1" applyFill="1" applyBorder="1" applyAlignment="1">
      <alignment horizontal="center" vertical="center" wrapText="1"/>
    </xf>
    <xf numFmtId="164" fontId="4" fillId="8" borderId="1" xfId="0" applyNumberFormat="1" applyFont="1" applyFill="1" applyBorder="1" applyAlignment="1">
      <alignment horizontal="center" vertical="top" wrapText="1"/>
    </xf>
    <xf numFmtId="0" fontId="4" fillId="4" borderId="0" xfId="0" applyFont="1" applyFill="1"/>
    <xf numFmtId="0" fontId="23" fillId="4" borderId="1" xfId="0" applyFont="1" applyFill="1" applyBorder="1" applyAlignment="1">
      <alignment horizontal="center" vertical="top"/>
    </xf>
    <xf numFmtId="15" fontId="23" fillId="4" borderId="1" xfId="0" applyNumberFormat="1" applyFont="1" applyFill="1" applyBorder="1" applyAlignment="1">
      <alignment horizontal="center" vertical="top"/>
    </xf>
    <xf numFmtId="0" fontId="23"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4" fillId="4" borderId="1" xfId="0" applyFont="1" applyFill="1" applyBorder="1" applyAlignment="1">
      <alignment horizontal="center" vertical="top"/>
    </xf>
    <xf numFmtId="0" fontId="4" fillId="4" borderId="1" xfId="0" applyFont="1" applyFill="1" applyBorder="1" applyAlignment="1">
      <alignment horizontal="center" vertical="top"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167" fontId="4" fillId="4" borderId="1" xfId="0" applyNumberFormat="1" applyFont="1" applyFill="1" applyBorder="1" applyAlignment="1">
      <alignment horizontal="center" vertical="top" wrapText="1"/>
    </xf>
    <xf numFmtId="164" fontId="4" fillId="4" borderId="1" xfId="0" applyNumberFormat="1" applyFont="1" applyFill="1" applyBorder="1" applyAlignment="1">
      <alignment horizontal="center" vertical="top" wrapText="1"/>
    </xf>
    <xf numFmtId="15" fontId="23" fillId="4" borderId="1" xfId="0" applyNumberFormat="1" applyFont="1" applyFill="1" applyBorder="1" applyAlignment="1">
      <alignment horizontal="center" vertical="top" wrapText="1"/>
    </xf>
    <xf numFmtId="0" fontId="81" fillId="4" borderId="5" xfId="0" applyFont="1" applyFill="1" applyBorder="1"/>
    <xf numFmtId="0" fontId="81" fillId="4" borderId="0" xfId="0" applyFont="1" applyFill="1"/>
    <xf numFmtId="0" fontId="0" fillId="4" borderId="0" xfId="0" applyFill="1"/>
    <xf numFmtId="0" fontId="3" fillId="4" borderId="1" xfId="0" applyFont="1" applyFill="1" applyBorder="1" applyAlignment="1">
      <alignment horizontal="center" vertical="top"/>
    </xf>
    <xf numFmtId="166" fontId="23" fillId="4" borderId="1" xfId="0" applyNumberFormat="1" applyFont="1" applyFill="1" applyBorder="1" applyAlignment="1">
      <alignment horizontal="center" vertical="top" wrapText="1"/>
    </xf>
    <xf numFmtId="0" fontId="4" fillId="4" borderId="1" xfId="0" applyFont="1" applyFill="1" applyBorder="1" applyAlignment="1">
      <alignment horizontal="center" wrapText="1"/>
    </xf>
    <xf numFmtId="0" fontId="9" fillId="4" borderId="1" xfId="0" applyFont="1" applyFill="1" applyBorder="1" applyAlignment="1">
      <alignment horizontal="center" vertical="top" wrapText="1"/>
    </xf>
    <xf numFmtId="167" fontId="9" fillId="4" borderId="1" xfId="0" applyNumberFormat="1" applyFont="1" applyFill="1" applyBorder="1" applyAlignment="1">
      <alignment horizontal="center" vertical="top" wrapText="1"/>
    </xf>
    <xf numFmtId="6" fontId="4" fillId="4" borderId="1" xfId="0" applyNumberFormat="1" applyFont="1" applyFill="1" applyBorder="1" applyAlignment="1">
      <alignment horizontal="center" vertical="top"/>
    </xf>
    <xf numFmtId="0" fontId="3" fillId="4" borderId="1" xfId="0" applyFont="1" applyFill="1" applyBorder="1" applyAlignment="1">
      <alignment horizontal="center" vertical="center"/>
    </xf>
    <xf numFmtId="166" fontId="23" fillId="4"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167" fontId="9" fillId="4" borderId="1" xfId="0" applyNumberFormat="1" applyFont="1" applyFill="1" applyBorder="1" applyAlignment="1">
      <alignment horizontal="center" vertical="center" wrapText="1"/>
    </xf>
    <xf numFmtId="0" fontId="4" fillId="4" borderId="0" xfId="0" applyFont="1" applyFill="1" applyAlignment="1">
      <alignment vertical="center"/>
    </xf>
    <xf numFmtId="0" fontId="10"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2" fillId="7" borderId="1" xfId="0" applyFont="1" applyFill="1" applyBorder="1" applyAlignment="1">
      <alignment horizontal="center" vertical="center"/>
    </xf>
    <xf numFmtId="15"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10" fillId="0" borderId="1" xfId="0" applyFont="1" applyBorder="1" applyAlignment="1">
      <alignment horizontal="center" vertical="center" wrapText="1"/>
    </xf>
    <xf numFmtId="0" fontId="17" fillId="0" borderId="1" xfId="0" applyFont="1" applyBorder="1" applyAlignment="1">
      <alignment horizontal="center" vertical="center" wrapText="1"/>
    </xf>
    <xf numFmtId="15" fontId="17"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0" fontId="17" fillId="7" borderId="1" xfId="0" applyFont="1" applyFill="1" applyBorder="1" applyAlignment="1">
      <alignment horizontal="center" vertical="center"/>
    </xf>
    <xf numFmtId="15" fontId="17" fillId="7" borderId="1" xfId="0" applyNumberFormat="1" applyFont="1" applyFill="1" applyBorder="1" applyAlignment="1">
      <alignment horizontal="center" vertical="center"/>
    </xf>
    <xf numFmtId="0" fontId="17" fillId="7" borderId="1" xfId="0" applyFont="1" applyFill="1" applyBorder="1" applyAlignment="1">
      <alignment horizontal="center" vertical="center" wrapText="1"/>
    </xf>
    <xf numFmtId="0" fontId="9" fillId="0" borderId="1" xfId="5" applyFont="1" applyBorder="1" applyAlignment="1">
      <alignment horizontal="center" vertical="center" wrapText="1"/>
    </xf>
    <xf numFmtId="167" fontId="9" fillId="8" borderId="1" xfId="0" applyNumberFormat="1" applyFont="1" applyFill="1" applyBorder="1" applyAlignment="1">
      <alignment horizontal="center" vertical="center"/>
    </xf>
    <xf numFmtId="164" fontId="9" fillId="8" borderId="1" xfId="0" applyNumberFormat="1" applyFont="1" applyFill="1" applyBorder="1" applyAlignment="1">
      <alignment horizontal="center" vertical="center" wrapText="1"/>
    </xf>
    <xf numFmtId="0" fontId="3" fillId="4" borderId="1" xfId="0" applyFont="1" applyFill="1" applyBorder="1" applyAlignment="1">
      <alignment horizontal="center" vertical="top" wrapText="1"/>
    </xf>
    <xf numFmtId="0" fontId="9" fillId="4" borderId="1" xfId="0" applyFont="1" applyFill="1" applyBorder="1" applyAlignment="1">
      <alignment horizontal="center" vertical="top"/>
    </xf>
    <xf numFmtId="0" fontId="9" fillId="4" borderId="1" xfId="0" applyFont="1" applyFill="1" applyBorder="1" applyAlignment="1">
      <alignment horizontal="center" vertical="center"/>
    </xf>
    <xf numFmtId="167" fontId="9" fillId="4" borderId="1" xfId="0" applyNumberFormat="1" applyFont="1" applyFill="1" applyBorder="1" applyAlignment="1">
      <alignment horizontal="center" vertical="center"/>
    </xf>
    <xf numFmtId="164" fontId="9" fillId="4" borderId="1" xfId="0" applyNumberFormat="1" applyFont="1" applyFill="1" applyBorder="1" applyAlignment="1">
      <alignment horizontal="center" vertical="center" wrapText="1"/>
    </xf>
    <xf numFmtId="0" fontId="8" fillId="4" borderId="0" xfId="0" applyFont="1" applyFill="1"/>
    <xf numFmtId="167" fontId="4" fillId="4" borderId="1" xfId="0" applyNumberFormat="1"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0" fontId="15" fillId="12" borderId="1" xfId="0" applyFont="1" applyFill="1" applyBorder="1" applyAlignment="1">
      <alignment horizontal="center" vertical="center" wrapText="1"/>
    </xf>
    <xf numFmtId="0" fontId="6" fillId="13" borderId="6" xfId="7" applyFont="1" applyAlignment="1">
      <alignment horizontal="center" vertical="center"/>
    </xf>
    <xf numFmtId="0" fontId="80" fillId="0" borderId="1" xfId="0" applyFont="1" applyBorder="1" applyAlignment="1">
      <alignment horizontal="center" vertical="center"/>
    </xf>
    <xf numFmtId="0" fontId="82" fillId="0" borderId="1" xfId="0" applyFont="1" applyBorder="1" applyAlignment="1">
      <alignment horizontal="center" vertical="center"/>
    </xf>
    <xf numFmtId="169" fontId="8" fillId="0" borderId="0" xfId="0" applyNumberFormat="1" applyFont="1" applyAlignment="1">
      <alignment horizontal="center" vertical="center"/>
    </xf>
    <xf numFmtId="169" fontId="3" fillId="6" borderId="1" xfId="0" applyNumberFormat="1" applyFont="1" applyFill="1" applyBorder="1" applyAlignment="1">
      <alignment horizontal="center" vertical="center" wrapText="1"/>
    </xf>
    <xf numFmtId="169" fontId="9" fillId="0" borderId="1" xfId="0" applyNumberFormat="1" applyFont="1" applyBorder="1" applyAlignment="1">
      <alignment horizontal="center" vertical="center"/>
    </xf>
    <xf numFmtId="169" fontId="38" fillId="7" borderId="1" xfId="0" applyNumberFormat="1" applyFont="1" applyFill="1" applyBorder="1" applyAlignment="1">
      <alignment horizontal="center" vertical="center"/>
    </xf>
    <xf numFmtId="169" fontId="4" fillId="8" borderId="1" xfId="0" applyNumberFormat="1" applyFont="1" applyFill="1" applyBorder="1" applyAlignment="1">
      <alignment horizontal="center" vertical="center" wrapText="1"/>
    </xf>
    <xf numFmtId="169" fontId="4" fillId="0" borderId="1" xfId="0" applyNumberFormat="1" applyFont="1" applyBorder="1" applyAlignment="1">
      <alignment horizontal="center" vertical="center"/>
    </xf>
    <xf numFmtId="169" fontId="4" fillId="8" borderId="1" xfId="0" applyNumberFormat="1" applyFont="1" applyFill="1" applyBorder="1" applyAlignment="1">
      <alignment horizontal="center" vertical="center"/>
    </xf>
    <xf numFmtId="169" fontId="9" fillId="7" borderId="1" xfId="0" applyNumberFormat="1" applyFont="1" applyFill="1" applyBorder="1" applyAlignment="1">
      <alignment horizontal="center" vertical="center"/>
    </xf>
    <xf numFmtId="169" fontId="15" fillId="0" borderId="1" xfId="0" applyNumberFormat="1" applyFont="1" applyBorder="1" applyAlignment="1">
      <alignment horizontal="center" vertical="center"/>
    </xf>
    <xf numFmtId="169" fontId="9" fillId="8" borderId="1" xfId="0" applyNumberFormat="1" applyFont="1" applyFill="1" applyBorder="1" applyAlignment="1">
      <alignment horizontal="center" vertical="center"/>
    </xf>
    <xf numFmtId="169" fontId="16" fillId="0" borderId="1" xfId="0" applyNumberFormat="1" applyFont="1" applyBorder="1" applyAlignment="1">
      <alignment horizontal="center" vertical="center"/>
    </xf>
    <xf numFmtId="169" fontId="4" fillId="4" borderId="1" xfId="0" applyNumberFormat="1" applyFont="1" applyFill="1" applyBorder="1" applyAlignment="1">
      <alignment horizontal="center" vertical="center"/>
    </xf>
    <xf numFmtId="169" fontId="41" fillId="0" borderId="1" xfId="0" applyNumberFormat="1" applyFont="1" applyBorder="1" applyAlignment="1">
      <alignment horizontal="center" vertical="center"/>
    </xf>
    <xf numFmtId="169" fontId="16" fillId="8" borderId="1" xfId="0" applyNumberFormat="1" applyFont="1" applyFill="1" applyBorder="1" applyAlignment="1">
      <alignment horizontal="center" vertical="center"/>
    </xf>
    <xf numFmtId="169" fontId="16" fillId="7" borderId="1" xfId="0" applyNumberFormat="1" applyFont="1" applyFill="1" applyBorder="1" applyAlignment="1">
      <alignment horizontal="center" vertical="center"/>
    </xf>
    <xf numFmtId="169" fontId="4" fillId="7" borderId="1" xfId="0" applyNumberFormat="1" applyFont="1" applyFill="1" applyBorder="1" applyAlignment="1">
      <alignment horizontal="center" vertical="center"/>
    </xf>
    <xf numFmtId="169" fontId="15" fillId="7" borderId="1" xfId="0" applyNumberFormat="1" applyFont="1" applyFill="1" applyBorder="1" applyAlignment="1">
      <alignment horizontal="center" vertical="center"/>
    </xf>
    <xf numFmtId="169" fontId="9" fillId="0" borderId="1" xfId="0" applyNumberFormat="1" applyFont="1" applyBorder="1" applyAlignment="1">
      <alignment horizontal="center" vertical="center" wrapText="1"/>
    </xf>
    <xf numFmtId="169" fontId="28" fillId="0" borderId="1" xfId="0" applyNumberFormat="1" applyFont="1" applyBorder="1" applyAlignment="1">
      <alignment horizontal="center" vertical="center"/>
    </xf>
    <xf numFmtId="169" fontId="38" fillId="8" borderId="1" xfId="0" applyNumberFormat="1" applyFont="1" applyFill="1" applyBorder="1" applyAlignment="1">
      <alignment horizontal="center" vertical="center"/>
    </xf>
    <xf numFmtId="169" fontId="38" fillId="0" borderId="1" xfId="0" applyNumberFormat="1" applyFont="1" applyBorder="1" applyAlignment="1">
      <alignment horizontal="center" vertical="center"/>
    </xf>
    <xf numFmtId="169" fontId="15" fillId="12" borderId="1" xfId="0" applyNumberFormat="1" applyFont="1" applyFill="1" applyBorder="1" applyAlignment="1">
      <alignment horizontal="center" vertical="center"/>
    </xf>
    <xf numFmtId="169" fontId="9" fillId="9" borderId="1" xfId="0" applyNumberFormat="1" applyFont="1" applyFill="1" applyBorder="1" applyAlignment="1">
      <alignment horizontal="center" vertical="center"/>
    </xf>
    <xf numFmtId="169" fontId="80" fillId="0" borderId="1" xfId="0" applyNumberFormat="1" applyFont="1" applyBorder="1" applyAlignment="1">
      <alignment horizontal="center" vertical="center"/>
    </xf>
    <xf numFmtId="169" fontId="28" fillId="11" borderId="1" xfId="0" applyNumberFormat="1" applyFont="1" applyFill="1" applyBorder="1" applyAlignment="1">
      <alignment horizontal="center" vertical="center"/>
    </xf>
    <xf numFmtId="169" fontId="16" fillId="4" borderId="1" xfId="0" applyNumberFormat="1" applyFont="1" applyFill="1" applyBorder="1" applyAlignment="1">
      <alignment horizontal="center" vertical="top"/>
    </xf>
    <xf numFmtId="169" fontId="9" fillId="8" borderId="1" xfId="0" applyNumberFormat="1" applyFont="1" applyFill="1" applyBorder="1" applyAlignment="1">
      <alignment horizontal="center" vertical="top"/>
    </xf>
    <xf numFmtId="169" fontId="9" fillId="4" borderId="1" xfId="0" applyNumberFormat="1" applyFont="1" applyFill="1" applyBorder="1" applyAlignment="1">
      <alignment horizontal="center" vertical="center"/>
    </xf>
    <xf numFmtId="169" fontId="16" fillId="0" borderId="1" xfId="0" applyNumberFormat="1" applyFont="1" applyBorder="1" applyAlignment="1">
      <alignment horizontal="center" vertical="center" wrapText="1"/>
    </xf>
    <xf numFmtId="169" fontId="9" fillId="7" borderId="1" xfId="0" applyNumberFormat="1" applyFont="1" applyFill="1" applyBorder="1" applyAlignment="1">
      <alignment horizontal="center" vertical="center" wrapText="1"/>
    </xf>
    <xf numFmtId="169" fontId="9" fillId="8" borderId="1" xfId="0" applyNumberFormat="1" applyFont="1" applyFill="1" applyBorder="1" applyAlignment="1">
      <alignment horizontal="center" vertical="center" wrapText="1"/>
    </xf>
    <xf numFmtId="169" fontId="4" fillId="8" borderId="1" xfId="0" applyNumberFormat="1" applyFont="1" applyFill="1" applyBorder="1" applyAlignment="1">
      <alignment horizontal="center" vertical="top" wrapText="1"/>
    </xf>
    <xf numFmtId="169" fontId="0" fillId="0" borderId="0" xfId="0" applyNumberFormat="1" applyAlignment="1">
      <alignment horizontal="center" vertical="center"/>
    </xf>
    <xf numFmtId="0" fontId="3" fillId="4" borderId="6" xfId="0" applyFont="1" applyFill="1" applyBorder="1" applyAlignment="1">
      <alignment horizontal="center" vertical="top" wrapText="1"/>
    </xf>
    <xf numFmtId="0" fontId="3" fillId="0" borderId="3" xfId="0" applyFont="1" applyBorder="1" applyAlignment="1">
      <alignment horizontal="center" vertical="top"/>
    </xf>
    <xf numFmtId="0" fontId="3" fillId="0" borderId="6" xfId="0" applyFont="1" applyBorder="1" applyAlignment="1">
      <alignment horizontal="center" vertical="top" wrapText="1"/>
    </xf>
    <xf numFmtId="0" fontId="35" fillId="0" borderId="3" xfId="0" applyFont="1" applyBorder="1" applyAlignment="1">
      <alignment horizontal="center" vertical="top" wrapText="1"/>
    </xf>
    <xf numFmtId="15" fontId="3" fillId="4" borderId="6" xfId="0" applyNumberFormat="1" applyFont="1" applyFill="1" applyBorder="1" applyAlignment="1">
      <alignment horizontal="center" vertical="top" wrapText="1"/>
    </xf>
    <xf numFmtId="166" fontId="23" fillId="0" borderId="3" xfId="0" applyNumberFormat="1" applyFont="1" applyBorder="1" applyAlignment="1">
      <alignment horizontal="center" vertical="top" wrapText="1"/>
    </xf>
    <xf numFmtId="166" fontId="23" fillId="0" borderId="6" xfId="0" applyNumberFormat="1" applyFont="1" applyBorder="1" applyAlignment="1">
      <alignment horizontal="center" vertical="top" wrapText="1"/>
    </xf>
    <xf numFmtId="15" fontId="35" fillId="0" borderId="3" xfId="0" applyNumberFormat="1" applyFont="1" applyBorder="1" applyAlignment="1">
      <alignment horizontal="center" vertical="top"/>
    </xf>
    <xf numFmtId="0" fontId="23" fillId="0" borderId="3" xfId="0" applyFont="1" applyBorder="1" applyAlignment="1">
      <alignment horizontal="center" vertical="top" wrapText="1"/>
    </xf>
    <xf numFmtId="0" fontId="11" fillId="0" borderId="0" xfId="0" applyFont="1" applyAlignment="1">
      <alignment horizontal="center" vertical="top" wrapText="1"/>
    </xf>
    <xf numFmtId="0" fontId="9" fillId="4" borderId="6" xfId="0" applyFont="1" applyFill="1" applyBorder="1" applyAlignment="1">
      <alignment horizontal="center" vertical="top" wrapText="1"/>
    </xf>
    <xf numFmtId="0" fontId="77" fillId="0" borderId="3" xfId="0" applyFont="1" applyBorder="1" applyAlignment="1">
      <alignment horizontal="center" vertical="top" wrapText="1"/>
    </xf>
    <xf numFmtId="0" fontId="9" fillId="4" borderId="6" xfId="0" applyFont="1" applyFill="1" applyBorder="1" applyAlignment="1">
      <alignment horizontal="center" vertical="top"/>
    </xf>
    <xf numFmtId="0" fontId="4" fillId="0" borderId="3" xfId="0" applyFont="1" applyBorder="1" applyAlignment="1">
      <alignment horizontal="center" vertical="top"/>
    </xf>
    <xf numFmtId="0" fontId="38" fillId="0" borderId="3" xfId="0" applyFont="1" applyBorder="1" applyAlignment="1">
      <alignment horizontal="center" vertical="top"/>
    </xf>
    <xf numFmtId="0" fontId="38" fillId="0" borderId="3" xfId="0" applyFont="1" applyBorder="1" applyAlignment="1">
      <alignment horizontal="center" vertical="top" wrapText="1"/>
    </xf>
    <xf numFmtId="0" fontId="9" fillId="4" borderId="6" xfId="0" applyFont="1" applyFill="1" applyBorder="1" applyAlignment="1">
      <alignment horizontal="center" vertical="center" wrapText="1"/>
    </xf>
    <xf numFmtId="0" fontId="38" fillId="0" borderId="3" xfId="0" applyFont="1" applyBorder="1" applyAlignment="1">
      <alignment horizontal="center" vertical="center" wrapText="1"/>
    </xf>
    <xf numFmtId="0" fontId="82" fillId="4" borderId="6" xfId="0" applyFont="1" applyFill="1" applyBorder="1" applyAlignment="1">
      <alignment horizontal="center" vertical="center"/>
    </xf>
    <xf numFmtId="0" fontId="4" fillId="0" borderId="3" xfId="0" applyFont="1" applyBorder="1" applyAlignment="1">
      <alignment horizontal="center" vertical="center" wrapText="1"/>
    </xf>
    <xf numFmtId="0" fontId="38" fillId="0" borderId="3" xfId="0" applyFont="1" applyBorder="1" applyAlignment="1">
      <alignment horizontal="center" vertical="center"/>
    </xf>
    <xf numFmtId="0" fontId="4" fillId="0" borderId="6" xfId="0" applyFont="1" applyBorder="1" applyAlignment="1">
      <alignment horizontal="center" vertical="center"/>
    </xf>
    <xf numFmtId="169" fontId="15" fillId="7" borderId="1" xfId="0" applyNumberFormat="1" applyFont="1" applyFill="1" applyBorder="1" applyAlignment="1">
      <alignment horizontal="center" vertical="center" wrapText="1"/>
    </xf>
    <xf numFmtId="169" fontId="9" fillId="0" borderId="3" xfId="0" applyNumberFormat="1" applyFont="1" applyBorder="1" applyAlignment="1">
      <alignment horizontal="center" vertical="center"/>
    </xf>
    <xf numFmtId="169" fontId="4" fillId="0" borderId="3" xfId="0" applyNumberFormat="1" applyFont="1" applyBorder="1" applyAlignment="1">
      <alignment horizontal="center" vertical="center"/>
    </xf>
    <xf numFmtId="169" fontId="38" fillId="0" borderId="3" xfId="0" applyNumberFormat="1" applyFont="1" applyBorder="1" applyAlignment="1">
      <alignment horizontal="center" vertical="center"/>
    </xf>
    <xf numFmtId="167" fontId="9" fillId="0" borderId="0" xfId="0" applyNumberFormat="1" applyFont="1" applyAlignment="1">
      <alignment horizontal="center" vertical="center" wrapText="1"/>
    </xf>
    <xf numFmtId="164" fontId="38" fillId="0" borderId="3" xfId="0" applyNumberFormat="1" applyFont="1" applyBorder="1" applyAlignment="1">
      <alignment horizontal="center" vertical="center" wrapText="1"/>
    </xf>
    <xf numFmtId="0" fontId="3" fillId="4" borderId="6" xfId="7" applyFont="1" applyFill="1" applyAlignment="1">
      <alignment horizontal="center" vertical="center"/>
    </xf>
    <xf numFmtId="0" fontId="83" fillId="4" borderId="6" xfId="7" applyFill="1" applyAlignment="1">
      <alignment horizontal="center" vertical="top"/>
    </xf>
    <xf numFmtId="0" fontId="83" fillId="4" borderId="6" xfId="7" applyFill="1" applyAlignment="1">
      <alignment horizontal="center" vertical="center"/>
    </xf>
    <xf numFmtId="169" fontId="83" fillId="4" borderId="6" xfId="7" applyNumberFormat="1" applyFill="1" applyAlignment="1">
      <alignment horizontal="center" vertical="center"/>
    </xf>
    <xf numFmtId="0" fontId="3" fillId="4" borderId="6" xfId="7" applyFont="1" applyFill="1" applyAlignment="1">
      <alignment horizontal="center" vertical="top"/>
    </xf>
    <xf numFmtId="0" fontId="9" fillId="4" borderId="6" xfId="7" applyFont="1" applyFill="1" applyAlignment="1">
      <alignment horizontal="center" vertical="center" wrapText="1"/>
    </xf>
    <xf numFmtId="0" fontId="84" fillId="4" borderId="6" xfId="7" applyFont="1" applyFill="1" applyAlignment="1">
      <alignment horizontal="center" vertical="top"/>
    </xf>
    <xf numFmtId="0" fontId="5" fillId="0" borderId="0" xfId="0" applyFont="1" applyAlignment="1">
      <alignment horizontal="left" vertical="top"/>
    </xf>
    <xf numFmtId="0" fontId="0" fillId="0" borderId="0" xfId="0" applyAlignment="1">
      <alignment vertical="top" wrapText="1"/>
    </xf>
    <xf numFmtId="164" fontId="39" fillId="0" borderId="1" xfId="0" applyNumberFormat="1" applyFont="1" applyBorder="1" applyAlignment="1">
      <alignment horizontal="center" vertical="top" wrapText="1"/>
    </xf>
    <xf numFmtId="169" fontId="15" fillId="0" borderId="1" xfId="0" applyNumberFormat="1" applyFont="1" applyBorder="1" applyAlignment="1">
      <alignment horizontal="center" vertical="top" wrapText="1"/>
    </xf>
    <xf numFmtId="167" fontId="15" fillId="0" borderId="1" xfId="0" applyNumberFormat="1" applyFont="1" applyBorder="1" applyAlignment="1">
      <alignment horizontal="center" vertical="top" wrapText="1"/>
    </xf>
    <xf numFmtId="164" fontId="71" fillId="0" borderId="1" xfId="0" applyNumberFormat="1" applyFont="1" applyBorder="1" applyAlignment="1">
      <alignment horizontal="center" vertical="top" wrapText="1"/>
    </xf>
    <xf numFmtId="0" fontId="69" fillId="0" borderId="0" xfId="0" applyFont="1"/>
    <xf numFmtId="169" fontId="9" fillId="0" borderId="1" xfId="0" applyNumberFormat="1" applyFont="1" applyBorder="1" applyAlignment="1">
      <alignment horizontal="center" vertical="top" wrapText="1"/>
    </xf>
    <xf numFmtId="0" fontId="3" fillId="11" borderId="1" xfId="0" applyFont="1" applyFill="1" applyBorder="1" applyAlignment="1">
      <alignment horizontal="center" vertical="top"/>
    </xf>
    <xf numFmtId="15" fontId="3" fillId="11" borderId="1" xfId="0" applyNumberFormat="1" applyFont="1" applyFill="1" applyBorder="1" applyAlignment="1">
      <alignment horizontal="center" vertical="top"/>
    </xf>
    <xf numFmtId="0" fontId="3" fillId="11" borderId="1" xfId="0" applyFont="1" applyFill="1" applyBorder="1" applyAlignment="1">
      <alignment horizontal="center" vertical="top" wrapText="1"/>
    </xf>
    <xf numFmtId="0" fontId="10" fillId="11" borderId="1" xfId="0" applyFont="1" applyFill="1" applyBorder="1" applyAlignment="1">
      <alignment horizontal="center" vertical="top" wrapText="1"/>
    </xf>
    <xf numFmtId="0" fontId="9" fillId="11" borderId="1" xfId="0" applyFont="1" applyFill="1" applyBorder="1" applyAlignment="1">
      <alignment horizontal="center" vertical="top"/>
    </xf>
    <xf numFmtId="0" fontId="9" fillId="11" borderId="1" xfId="0" applyFont="1" applyFill="1" applyBorder="1" applyAlignment="1">
      <alignment horizontal="center" vertical="top" wrapText="1"/>
    </xf>
    <xf numFmtId="0" fontId="9" fillId="11" borderId="1" xfId="0" applyFont="1" applyFill="1" applyBorder="1" applyAlignment="1">
      <alignment horizontal="center" vertical="center" wrapText="1"/>
    </xf>
    <xf numFmtId="0" fontId="9" fillId="11" borderId="1" xfId="0" applyFont="1" applyFill="1" applyBorder="1" applyAlignment="1">
      <alignment horizontal="center" vertical="center"/>
    </xf>
    <xf numFmtId="0" fontId="9" fillId="12" borderId="1" xfId="0" applyFont="1" applyFill="1" applyBorder="1" applyAlignment="1">
      <alignment horizontal="center" vertical="center" wrapText="1"/>
    </xf>
    <xf numFmtId="169" fontId="9" fillId="12" borderId="1" xfId="0" applyNumberFormat="1" applyFont="1" applyFill="1" applyBorder="1" applyAlignment="1">
      <alignment horizontal="center" vertical="center"/>
    </xf>
    <xf numFmtId="167" fontId="9" fillId="12" borderId="1" xfId="0" applyNumberFormat="1" applyFont="1" applyFill="1" applyBorder="1" applyAlignment="1">
      <alignment horizontal="center" vertical="center"/>
    </xf>
    <xf numFmtId="164" fontId="9" fillId="11" borderId="1" xfId="0" applyNumberFormat="1" applyFont="1" applyFill="1" applyBorder="1" applyAlignment="1">
      <alignment horizontal="center" vertical="center" wrapText="1"/>
    </xf>
    <xf numFmtId="169" fontId="9" fillId="11" borderId="1" xfId="0" applyNumberFormat="1" applyFont="1" applyFill="1" applyBorder="1" applyAlignment="1">
      <alignment horizontal="center" vertical="center"/>
    </xf>
    <xf numFmtId="0" fontId="4" fillId="12" borderId="0" xfId="0" applyFont="1" applyFill="1"/>
    <xf numFmtId="0" fontId="33" fillId="11" borderId="1" xfId="0" applyFont="1" applyFill="1" applyBorder="1" applyAlignment="1">
      <alignment horizontal="center" vertical="center"/>
    </xf>
    <xf numFmtId="0" fontId="17" fillId="11" borderId="1" xfId="0" applyFont="1" applyFill="1" applyBorder="1" applyAlignment="1">
      <alignment horizontal="center" vertical="top"/>
    </xf>
    <xf numFmtId="15" fontId="17" fillId="11" borderId="1" xfId="0" applyNumberFormat="1" applyFont="1" applyFill="1" applyBorder="1" applyAlignment="1">
      <alignment horizontal="center" vertical="top"/>
    </xf>
    <xf numFmtId="0" fontId="17" fillId="11" borderId="1" xfId="0" applyFont="1" applyFill="1" applyBorder="1" applyAlignment="1">
      <alignment horizontal="center" vertical="top" wrapText="1"/>
    </xf>
    <xf numFmtId="0" fontId="18" fillId="11" borderId="1" xfId="0" applyFont="1" applyFill="1" applyBorder="1" applyAlignment="1">
      <alignment horizontal="center" vertical="top" wrapText="1"/>
    </xf>
    <xf numFmtId="0" fontId="16" fillId="11" borderId="1" xfId="0" applyFont="1" applyFill="1" applyBorder="1" applyAlignment="1">
      <alignment horizontal="center" vertical="top"/>
    </xf>
    <xf numFmtId="0" fontId="16" fillId="11" borderId="1" xfId="0" applyFont="1" applyFill="1" applyBorder="1" applyAlignment="1">
      <alignment horizontal="center" vertical="top" wrapText="1"/>
    </xf>
    <xf numFmtId="0" fontId="16" fillId="11" borderId="1" xfId="0" applyFont="1" applyFill="1" applyBorder="1" applyAlignment="1">
      <alignment horizontal="center" vertical="center" wrapText="1"/>
    </xf>
    <xf numFmtId="0" fontId="16" fillId="11" borderId="1" xfId="0" applyFont="1" applyFill="1" applyBorder="1" applyAlignment="1">
      <alignment horizontal="center" vertical="center"/>
    </xf>
    <xf numFmtId="169" fontId="16" fillId="12" borderId="1" xfId="0" applyNumberFormat="1" applyFont="1" applyFill="1" applyBorder="1" applyAlignment="1">
      <alignment horizontal="center" vertical="center"/>
    </xf>
    <xf numFmtId="167" fontId="16" fillId="11" borderId="1" xfId="0" applyNumberFormat="1" applyFont="1" applyFill="1" applyBorder="1" applyAlignment="1">
      <alignment horizontal="center" vertical="center" wrapText="1"/>
    </xf>
    <xf numFmtId="164" fontId="16" fillId="11" borderId="1" xfId="0" applyNumberFormat="1" applyFont="1" applyFill="1" applyBorder="1" applyAlignment="1">
      <alignment horizontal="center" vertical="center" wrapText="1"/>
    </xf>
    <xf numFmtId="0" fontId="16" fillId="12" borderId="1" xfId="0" applyFont="1" applyFill="1" applyBorder="1" applyAlignment="1">
      <alignment horizontal="center" vertical="center" wrapText="1"/>
    </xf>
    <xf numFmtId="167" fontId="9" fillId="11" borderId="1" xfId="0" applyNumberFormat="1" applyFont="1" applyFill="1" applyBorder="1" applyAlignment="1">
      <alignment horizontal="center" vertical="center"/>
    </xf>
    <xf numFmtId="167" fontId="4" fillId="11" borderId="1" xfId="0" applyNumberFormat="1" applyFont="1" applyFill="1" applyBorder="1" applyAlignment="1">
      <alignment horizontal="center" vertical="center" wrapText="1"/>
    </xf>
    <xf numFmtId="0" fontId="4" fillId="11" borderId="1" xfId="0" applyFont="1" applyFill="1" applyBorder="1" applyAlignment="1">
      <alignment horizontal="center" vertical="center" wrapText="1"/>
    </xf>
    <xf numFmtId="0" fontId="32" fillId="0" borderId="1" xfId="0" applyFont="1" applyBorder="1" applyAlignment="1">
      <alignment horizontal="center" vertical="top"/>
    </xf>
    <xf numFmtId="0" fontId="22" fillId="0" borderId="1" xfId="0" applyFont="1" applyBorder="1" applyAlignment="1">
      <alignment horizontal="center" vertical="center" wrapText="1"/>
    </xf>
    <xf numFmtId="0" fontId="9" fillId="9" borderId="1" xfId="0" applyFont="1" applyFill="1" applyBorder="1" applyAlignment="1">
      <alignment horizontal="center" vertical="top"/>
    </xf>
    <xf numFmtId="167" fontId="28" fillId="11" borderId="1" xfId="0" applyNumberFormat="1" applyFont="1" applyFill="1" applyBorder="1" applyAlignment="1">
      <alignment horizontal="center" vertical="center" wrapText="1"/>
    </xf>
    <xf numFmtId="15" fontId="4" fillId="4" borderId="1" xfId="0" applyNumberFormat="1" applyFont="1" applyFill="1" applyBorder="1" applyAlignment="1">
      <alignment horizontal="center" vertical="top"/>
    </xf>
    <xf numFmtId="15" fontId="4" fillId="4" borderId="1" xfId="0" applyNumberFormat="1" applyFont="1" applyFill="1" applyBorder="1" applyAlignment="1">
      <alignment horizontal="center" vertical="top" wrapText="1"/>
    </xf>
    <xf numFmtId="169" fontId="4" fillId="4" borderId="1" xfId="0" applyNumberFormat="1" applyFont="1" applyFill="1" applyBorder="1" applyAlignment="1">
      <alignment horizontal="center" vertical="top" wrapText="1"/>
    </xf>
    <xf numFmtId="0" fontId="0" fillId="4" borderId="0" xfId="0" applyFill="1" applyAlignment="1">
      <alignment vertical="top" wrapText="1"/>
    </xf>
    <xf numFmtId="0" fontId="9" fillId="4" borderId="1" xfId="7" applyFont="1" applyFill="1" applyBorder="1" applyAlignment="1">
      <alignment horizontal="center" vertical="center"/>
    </xf>
    <xf numFmtId="169" fontId="4" fillId="4" borderId="1" xfId="0" applyNumberFormat="1" applyFont="1" applyFill="1" applyBorder="1" applyAlignment="1">
      <alignment horizontal="center" vertical="center" wrapText="1"/>
    </xf>
    <xf numFmtId="0" fontId="31" fillId="4" borderId="0" xfId="0" applyFont="1" applyFill="1"/>
    <xf numFmtId="0" fontId="3" fillId="4" borderId="1" xfId="7" applyFont="1" applyFill="1" applyBorder="1" applyAlignment="1">
      <alignment horizontal="center" vertical="top" wrapText="1"/>
    </xf>
    <xf numFmtId="15" fontId="9" fillId="4" borderId="1" xfId="7" applyNumberFormat="1" applyFont="1" applyFill="1" applyBorder="1" applyAlignment="1">
      <alignment horizontal="center" vertical="top" wrapText="1"/>
    </xf>
    <xf numFmtId="0" fontId="3" fillId="4" borderId="1" xfId="7" applyFont="1" applyFill="1" applyBorder="1" applyAlignment="1">
      <alignment horizontal="center" vertical="center" wrapText="1"/>
    </xf>
    <xf numFmtId="0" fontId="9" fillId="4" borderId="1" xfId="7" applyFont="1" applyFill="1" applyBorder="1" applyAlignment="1">
      <alignment horizontal="center" vertical="top" wrapText="1"/>
    </xf>
    <xf numFmtId="0" fontId="9" fillId="4" borderId="1" xfId="7" applyFont="1" applyFill="1" applyBorder="1" applyAlignment="1">
      <alignment horizontal="center" vertical="center" wrapText="1"/>
    </xf>
    <xf numFmtId="169" fontId="9" fillId="4" borderId="1" xfId="7" applyNumberFormat="1" applyFont="1" applyFill="1" applyBorder="1" applyAlignment="1">
      <alignment horizontal="center" vertical="center"/>
    </xf>
    <xf numFmtId="0" fontId="6" fillId="4" borderId="1" xfId="7" applyFont="1" applyFill="1" applyBorder="1" applyAlignment="1">
      <alignment horizontal="center" vertical="center"/>
    </xf>
    <xf numFmtId="15" fontId="9" fillId="4" borderId="6" xfId="7" applyNumberFormat="1" applyFont="1" applyFill="1" applyAlignment="1">
      <alignment horizontal="center" vertical="top"/>
    </xf>
    <xf numFmtId="0" fontId="3" fillId="4" borderId="6" xfId="7" applyFont="1" applyFill="1" applyAlignment="1">
      <alignment horizontal="center" vertical="center" wrapText="1"/>
    </xf>
    <xf numFmtId="0" fontId="9" fillId="4" borderId="6" xfId="7" applyFont="1" applyFill="1" applyAlignment="1">
      <alignment horizontal="center" vertical="top"/>
    </xf>
    <xf numFmtId="0" fontId="9" fillId="4" borderId="6" xfId="7" applyFont="1" applyFill="1" applyAlignment="1">
      <alignment horizontal="center" vertical="top" wrapText="1"/>
    </xf>
    <xf numFmtId="0" fontId="6" fillId="4" borderId="6" xfId="7" applyFont="1" applyFill="1" applyAlignment="1">
      <alignment horizontal="center" vertical="center"/>
    </xf>
    <xf numFmtId="0" fontId="9" fillId="4" borderId="0" xfId="0" applyFont="1" applyFill="1" applyAlignment="1">
      <alignment horizontal="center" vertical="center"/>
    </xf>
    <xf numFmtId="0" fontId="85" fillId="4" borderId="6" xfId="7" applyFont="1" applyFill="1" applyAlignment="1">
      <alignment horizontal="center" vertical="top"/>
    </xf>
    <xf numFmtId="15" fontId="4" fillId="4" borderId="6" xfId="7" applyNumberFormat="1" applyFont="1" applyFill="1" applyAlignment="1">
      <alignment horizontal="center" vertical="top" wrapText="1"/>
    </xf>
    <xf numFmtId="0" fontId="4" fillId="4" borderId="6" xfId="7" applyFont="1" applyFill="1" applyAlignment="1">
      <alignment horizontal="center" vertical="center" wrapText="1"/>
    </xf>
    <xf numFmtId="0" fontId="84" fillId="4" borderId="6" xfId="7" applyFont="1" applyFill="1" applyAlignment="1">
      <alignment vertical="top"/>
    </xf>
    <xf numFmtId="0" fontId="4" fillId="4" borderId="6" xfId="7" applyFont="1" applyFill="1" applyAlignment="1">
      <alignment horizontal="center" vertical="top"/>
    </xf>
    <xf numFmtId="0" fontId="4" fillId="4" borderId="6" xfId="7" applyFont="1" applyFill="1" applyAlignment="1">
      <alignment horizontal="center" vertical="top" wrapText="1"/>
    </xf>
    <xf numFmtId="0" fontId="4" fillId="4" borderId="0" xfId="0" applyFont="1" applyFill="1" applyAlignment="1">
      <alignment horizontal="center" vertical="center"/>
    </xf>
    <xf numFmtId="0" fontId="84" fillId="4" borderId="6" xfId="7" applyFont="1" applyFill="1" applyAlignment="1">
      <alignment horizontal="center" vertical="center"/>
    </xf>
    <xf numFmtId="15" fontId="84" fillId="4" borderId="6" xfId="7" applyNumberFormat="1" applyFont="1" applyFill="1" applyAlignment="1">
      <alignment horizontal="center" vertical="center"/>
    </xf>
    <xf numFmtId="0" fontId="83" fillId="4" borderId="6" xfId="7" applyFill="1"/>
    <xf numFmtId="0" fontId="3" fillId="4" borderId="6" xfId="7" applyFont="1" applyFill="1" applyAlignment="1">
      <alignment horizontal="center" vertical="top" wrapText="1"/>
    </xf>
    <xf numFmtId="0" fontId="84" fillId="4" borderId="6" xfId="7" applyFont="1" applyFill="1" applyAlignment="1">
      <alignment horizontal="center" vertical="center" wrapText="1"/>
    </xf>
    <xf numFmtId="0" fontId="23" fillId="4" borderId="6" xfId="7" applyFont="1" applyFill="1" applyAlignment="1">
      <alignment horizontal="center" vertical="center" wrapText="1"/>
    </xf>
    <xf numFmtId="0" fontId="17" fillId="4" borderId="1" xfId="0" applyFont="1" applyFill="1" applyBorder="1" applyAlignment="1">
      <alignment horizontal="center" vertical="top" wrapText="1"/>
    </xf>
    <xf numFmtId="0" fontId="16" fillId="4" borderId="1" xfId="0" applyFont="1" applyFill="1" applyBorder="1" applyAlignment="1">
      <alignment horizontal="center" vertical="center" wrapText="1"/>
    </xf>
    <xf numFmtId="0" fontId="16" fillId="4" borderId="1" xfId="0" applyFont="1" applyFill="1" applyBorder="1" applyAlignment="1">
      <alignment horizontal="center" vertical="center"/>
    </xf>
    <xf numFmtId="169" fontId="16" fillId="4" borderId="1" xfId="0" applyNumberFormat="1" applyFont="1" applyFill="1" applyBorder="1" applyAlignment="1">
      <alignment horizontal="center" vertical="center"/>
    </xf>
    <xf numFmtId="167" fontId="16" fillId="4" borderId="1" xfId="0" applyNumberFormat="1" applyFont="1" applyFill="1" applyBorder="1" applyAlignment="1">
      <alignment horizontal="center" vertical="center" wrapText="1"/>
    </xf>
    <xf numFmtId="0" fontId="4" fillId="4" borderId="6" xfId="0" applyFont="1" applyFill="1" applyBorder="1" applyAlignment="1">
      <alignment horizontal="center" vertical="top" wrapText="1"/>
    </xf>
    <xf numFmtId="0" fontId="10" fillId="4" borderId="6" xfId="0" applyFont="1" applyFill="1" applyBorder="1" applyAlignment="1">
      <alignment horizontal="center" vertical="top" wrapText="1"/>
    </xf>
    <xf numFmtId="0" fontId="4" fillId="4" borderId="6" xfId="0" applyFont="1" applyFill="1" applyBorder="1" applyAlignment="1">
      <alignment horizontal="center" vertical="top"/>
    </xf>
    <xf numFmtId="0" fontId="4" fillId="4" borderId="6" xfId="0" applyFont="1" applyFill="1" applyBorder="1" applyAlignment="1">
      <alignment horizontal="center" vertical="center" wrapText="1"/>
    </xf>
    <xf numFmtId="0" fontId="4" fillId="4" borderId="6" xfId="0" applyFont="1" applyFill="1" applyBorder="1" applyAlignment="1">
      <alignment horizontal="center" vertical="center"/>
    </xf>
    <xf numFmtId="169" fontId="4" fillId="4" borderId="6" xfId="0" applyNumberFormat="1" applyFont="1" applyFill="1" applyBorder="1" applyAlignment="1">
      <alignment horizontal="center" vertical="center"/>
    </xf>
    <xf numFmtId="167" fontId="9" fillId="4" borderId="6" xfId="0" applyNumberFormat="1" applyFont="1" applyFill="1" applyBorder="1" applyAlignment="1">
      <alignment horizontal="center" vertical="center" wrapText="1"/>
    </xf>
    <xf numFmtId="0" fontId="36" fillId="4" borderId="1" xfId="0" applyFont="1" applyFill="1" applyBorder="1" applyAlignment="1">
      <alignment horizontal="center" vertical="top" wrapText="1"/>
    </xf>
    <xf numFmtId="0" fontId="38" fillId="4" borderId="1" xfId="0" applyFont="1" applyFill="1" applyBorder="1" applyAlignment="1">
      <alignment horizontal="center" vertical="top"/>
    </xf>
    <xf numFmtId="0" fontId="38" fillId="4" borderId="1" xfId="0" applyFont="1" applyFill="1" applyBorder="1" applyAlignment="1">
      <alignment horizontal="center" vertical="center" wrapText="1"/>
    </xf>
    <xf numFmtId="0" fontId="38" fillId="4" borderId="1" xfId="0" applyFont="1" applyFill="1" applyBorder="1" applyAlignment="1">
      <alignment horizontal="center" vertical="center"/>
    </xf>
    <xf numFmtId="164" fontId="16" fillId="4" borderId="1" xfId="0" applyNumberFormat="1" applyFont="1" applyFill="1" applyBorder="1" applyAlignment="1">
      <alignment horizontal="center" vertical="center" wrapText="1"/>
    </xf>
    <xf numFmtId="169" fontId="9" fillId="4" borderId="1" xfId="0" applyNumberFormat="1" applyFont="1" applyFill="1" applyBorder="1" applyAlignment="1">
      <alignment horizontal="center" vertical="center" wrapText="1"/>
    </xf>
    <xf numFmtId="0" fontId="38" fillId="4" borderId="1" xfId="0" applyFont="1" applyFill="1" applyBorder="1" applyAlignment="1">
      <alignment horizontal="center" vertical="top" wrapText="1"/>
    </xf>
    <xf numFmtId="167" fontId="38" fillId="4" borderId="1" xfId="0" applyNumberFormat="1" applyFont="1" applyFill="1" applyBorder="1" applyAlignment="1">
      <alignment horizontal="center" vertical="center" wrapText="1"/>
    </xf>
    <xf numFmtId="164" fontId="3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top" wrapText="1"/>
    </xf>
    <xf numFmtId="0" fontId="75" fillId="4" borderId="1" xfId="0" applyFont="1" applyFill="1" applyBorder="1" applyAlignment="1">
      <alignment horizontal="center" vertical="top" wrapText="1"/>
    </xf>
    <xf numFmtId="0" fontId="69" fillId="4" borderId="1" xfId="0" applyFont="1" applyFill="1" applyBorder="1" applyAlignment="1">
      <alignment horizontal="center" vertical="top"/>
    </xf>
    <xf numFmtId="0" fontId="69" fillId="4" borderId="1" xfId="0" applyFont="1" applyFill="1" applyBorder="1" applyAlignment="1">
      <alignment horizontal="center" vertical="top" wrapText="1"/>
    </xf>
    <xf numFmtId="0" fontId="69" fillId="4" borderId="1" xfId="0" applyFont="1" applyFill="1" applyBorder="1" applyAlignment="1">
      <alignment horizontal="center" vertical="center" wrapText="1"/>
    </xf>
    <xf numFmtId="0" fontId="69" fillId="4" borderId="1" xfId="0" applyFont="1" applyFill="1" applyBorder="1" applyAlignment="1">
      <alignment horizontal="center" vertical="center"/>
    </xf>
    <xf numFmtId="167" fontId="69" fillId="4" borderId="1" xfId="0" applyNumberFormat="1" applyFont="1" applyFill="1" applyBorder="1" applyAlignment="1">
      <alignment horizontal="center" vertical="center" wrapText="1"/>
    </xf>
    <xf numFmtId="164" fontId="69" fillId="4"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top" wrapText="1"/>
    </xf>
    <xf numFmtId="167" fontId="9" fillId="8" borderId="1" xfId="0" applyNumberFormat="1" applyFont="1" applyFill="1" applyBorder="1" applyAlignment="1">
      <alignment horizontal="center" vertical="center" wrapText="1"/>
    </xf>
    <xf numFmtId="15" fontId="17" fillId="4" borderId="1" xfId="0" applyNumberFormat="1" applyFont="1" applyFill="1" applyBorder="1" applyAlignment="1">
      <alignment horizontal="center" vertical="top"/>
    </xf>
    <xf numFmtId="0" fontId="35" fillId="11" borderId="1" xfId="0" applyFont="1" applyFill="1" applyBorder="1" applyAlignment="1">
      <alignment horizontal="center" vertical="top" wrapText="1"/>
    </xf>
    <xf numFmtId="15" fontId="35" fillId="11" borderId="1" xfId="0" applyNumberFormat="1" applyFont="1" applyFill="1" applyBorder="1" applyAlignment="1">
      <alignment horizontal="center" vertical="top"/>
    </xf>
    <xf numFmtId="0" fontId="36" fillId="11" borderId="1" xfId="0" applyFont="1" applyFill="1" applyBorder="1" applyAlignment="1">
      <alignment horizontal="center" vertical="top" wrapText="1"/>
    </xf>
    <xf numFmtId="0" fontId="38" fillId="11" borderId="1" xfId="0" applyFont="1" applyFill="1" applyBorder="1" applyAlignment="1">
      <alignment horizontal="center" vertical="top"/>
    </xf>
    <xf numFmtId="0" fontId="38" fillId="11" borderId="1" xfId="0" applyFont="1" applyFill="1" applyBorder="1" applyAlignment="1">
      <alignment horizontal="center" vertical="center" wrapText="1"/>
    </xf>
    <xf numFmtId="0" fontId="38" fillId="11" borderId="1" xfId="0" applyFont="1" applyFill="1" applyBorder="1" applyAlignment="1">
      <alignment horizontal="center" vertical="center"/>
    </xf>
    <xf numFmtId="169" fontId="38" fillId="11" borderId="1" xfId="0" applyNumberFormat="1" applyFont="1" applyFill="1" applyBorder="1" applyAlignment="1">
      <alignment horizontal="center" vertical="center"/>
    </xf>
    <xf numFmtId="167" fontId="38" fillId="11" borderId="1" xfId="0" applyNumberFormat="1" applyFont="1" applyFill="1" applyBorder="1" applyAlignment="1">
      <alignment horizontal="center" vertical="center" wrapText="1"/>
    </xf>
    <xf numFmtId="164" fontId="38" fillId="11" borderId="1" xfId="0" applyNumberFormat="1" applyFont="1" applyFill="1" applyBorder="1" applyAlignment="1">
      <alignment horizontal="center" vertical="center" wrapText="1"/>
    </xf>
    <xf numFmtId="0" fontId="3" fillId="12" borderId="1" xfId="0" applyFont="1" applyFill="1" applyBorder="1" applyAlignment="1">
      <alignment horizontal="center" vertical="top"/>
    </xf>
    <xf numFmtId="15" fontId="3" fillId="12" borderId="1" xfId="0" applyNumberFormat="1" applyFont="1" applyFill="1" applyBorder="1" applyAlignment="1">
      <alignment horizontal="center" vertical="top"/>
    </xf>
    <xf numFmtId="0" fontId="3" fillId="12" borderId="1" xfId="0" applyFont="1" applyFill="1" applyBorder="1" applyAlignment="1">
      <alignment horizontal="center" vertical="top" wrapText="1"/>
    </xf>
    <xf numFmtId="0" fontId="10" fillId="12" borderId="1" xfId="0" applyFont="1" applyFill="1" applyBorder="1" applyAlignment="1">
      <alignment horizontal="center" vertical="top" wrapText="1"/>
    </xf>
    <xf numFmtId="0" fontId="9" fillId="12" borderId="1" xfId="0" applyFont="1" applyFill="1" applyBorder="1" applyAlignment="1">
      <alignment horizontal="center" vertical="top"/>
    </xf>
    <xf numFmtId="0" fontId="9" fillId="12" borderId="1" xfId="0" applyFont="1" applyFill="1" applyBorder="1" applyAlignment="1">
      <alignment horizontal="center" vertical="top" wrapText="1"/>
    </xf>
    <xf numFmtId="0" fontId="9" fillId="12" borderId="1" xfId="0" applyFont="1" applyFill="1" applyBorder="1" applyAlignment="1">
      <alignment horizontal="center" vertical="center"/>
    </xf>
    <xf numFmtId="167" fontId="9" fillId="12" borderId="1" xfId="0" applyNumberFormat="1" applyFont="1" applyFill="1" applyBorder="1" applyAlignment="1">
      <alignment horizontal="center" vertical="center" wrapText="1"/>
    </xf>
    <xf numFmtId="164" fontId="9" fillId="12" borderId="1" xfId="0" applyNumberFormat="1" applyFont="1" applyFill="1" applyBorder="1" applyAlignment="1">
      <alignment horizontal="center" vertical="center" wrapText="1"/>
    </xf>
    <xf numFmtId="0" fontId="8" fillId="12" borderId="0" xfId="0" applyFont="1" applyFill="1"/>
    <xf numFmtId="15" fontId="17" fillId="4" borderId="1" xfId="0" applyNumberFormat="1" applyFont="1" applyFill="1" applyBorder="1" applyAlignment="1">
      <alignment horizontal="center" vertical="top" wrapText="1"/>
    </xf>
    <xf numFmtId="0" fontId="16" fillId="4" borderId="0" xfId="0" applyFont="1" applyFill="1"/>
    <xf numFmtId="0" fontId="9" fillId="4" borderId="0" xfId="0" applyFont="1" applyFill="1" applyAlignment="1">
      <alignment horizontal="center" vertical="center" wrapText="1"/>
    </xf>
    <xf numFmtId="0" fontId="1" fillId="4" borderId="0" xfId="0" applyFont="1" applyFill="1"/>
    <xf numFmtId="0" fontId="12" fillId="8" borderId="1" xfId="0" applyFont="1" applyFill="1" applyBorder="1" applyAlignment="1">
      <alignment horizontal="center" vertical="top"/>
    </xf>
    <xf numFmtId="0" fontId="13" fillId="8" borderId="1" xfId="0" applyFont="1" applyFill="1" applyBorder="1" applyAlignment="1">
      <alignment horizontal="center" vertical="top" wrapText="1"/>
    </xf>
    <xf numFmtId="0" fontId="76" fillId="8" borderId="1" xfId="0" applyFont="1" applyFill="1" applyBorder="1" applyAlignment="1">
      <alignment horizontal="center" vertical="top" wrapText="1"/>
    </xf>
    <xf numFmtId="0" fontId="15" fillId="8" borderId="1" xfId="0" applyFont="1" applyFill="1" applyBorder="1" applyAlignment="1">
      <alignment horizontal="center" vertical="top"/>
    </xf>
    <xf numFmtId="0" fontId="15" fillId="8" borderId="1" xfId="0" applyFont="1" applyFill="1" applyBorder="1" applyAlignment="1">
      <alignment horizontal="center" vertical="top" wrapText="1"/>
    </xf>
    <xf numFmtId="0" fontId="15" fillId="8" borderId="1" xfId="0" applyFont="1" applyFill="1" applyBorder="1" applyAlignment="1">
      <alignment horizontal="center" vertical="center" wrapText="1"/>
    </xf>
    <xf numFmtId="169" fontId="15" fillId="8" borderId="1" xfId="0" applyNumberFormat="1" applyFont="1" applyFill="1" applyBorder="1" applyAlignment="1">
      <alignment horizontal="center" vertical="center"/>
    </xf>
    <xf numFmtId="167" fontId="15" fillId="8" borderId="1" xfId="0" applyNumberFormat="1" applyFont="1" applyFill="1" applyBorder="1" applyAlignment="1">
      <alignment horizontal="center" vertical="center"/>
    </xf>
    <xf numFmtId="0" fontId="16" fillId="8" borderId="1" xfId="0" applyFont="1" applyFill="1" applyBorder="1" applyAlignment="1">
      <alignment horizontal="center" vertical="center" wrapText="1"/>
    </xf>
    <xf numFmtId="164" fontId="15" fillId="8" borderId="1" xfId="0" applyNumberFormat="1" applyFont="1" applyFill="1" applyBorder="1" applyAlignment="1">
      <alignment horizontal="center" vertical="center" wrapText="1"/>
    </xf>
    <xf numFmtId="0" fontId="9" fillId="0" borderId="6" xfId="0" applyFont="1" applyBorder="1" applyAlignment="1">
      <alignment horizontal="center" vertical="center" wrapText="1"/>
    </xf>
    <xf numFmtId="0" fontId="26" fillId="0" borderId="1" xfId="0" applyFont="1" applyBorder="1" applyAlignment="1">
      <alignment horizontal="center" vertical="top"/>
    </xf>
    <xf numFmtId="0" fontId="23" fillId="15" borderId="1" xfId="0" applyFont="1" applyFill="1" applyBorder="1" applyAlignment="1">
      <alignment horizontal="center" vertical="top"/>
    </xf>
    <xf numFmtId="15" fontId="23" fillId="15" borderId="1" xfId="0" applyNumberFormat="1" applyFont="1" applyFill="1" applyBorder="1" applyAlignment="1">
      <alignment horizontal="center" vertical="top"/>
    </xf>
    <xf numFmtId="0" fontId="23" fillId="15" borderId="1" xfId="0" applyFont="1" applyFill="1" applyBorder="1" applyAlignment="1">
      <alignment horizontal="center" vertical="top" wrapText="1"/>
    </xf>
    <xf numFmtId="0" fontId="10" fillId="15" borderId="1" xfId="0" applyFont="1" applyFill="1" applyBorder="1" applyAlignment="1">
      <alignment horizontal="center" vertical="top" wrapText="1"/>
    </xf>
    <xf numFmtId="0" fontId="4" fillId="15" borderId="1" xfId="0" applyFont="1" applyFill="1" applyBorder="1" applyAlignment="1">
      <alignment horizontal="center" vertical="top"/>
    </xf>
    <xf numFmtId="0" fontId="4" fillId="15" borderId="1" xfId="0" applyFont="1" applyFill="1" applyBorder="1" applyAlignment="1">
      <alignment horizontal="center" vertical="top" wrapText="1"/>
    </xf>
    <xf numFmtId="0" fontId="0" fillId="15" borderId="1" xfId="0" applyFill="1" applyBorder="1" applyAlignment="1">
      <alignment horizontal="center" vertical="center" wrapText="1"/>
    </xf>
    <xf numFmtId="0" fontId="4" fillId="15" borderId="1" xfId="0" applyFont="1" applyFill="1" applyBorder="1" applyAlignment="1">
      <alignment horizontal="center" vertical="center"/>
    </xf>
    <xf numFmtId="167" fontId="4" fillId="15" borderId="1" xfId="0" applyNumberFormat="1" applyFont="1" applyFill="1" applyBorder="1" applyAlignment="1">
      <alignment horizontal="center" vertical="center" wrapText="1"/>
    </xf>
    <xf numFmtId="0" fontId="9" fillId="15" borderId="1" xfId="0" applyFont="1" applyFill="1" applyBorder="1" applyAlignment="1">
      <alignment horizontal="center" vertical="center" wrapText="1"/>
    </xf>
    <xf numFmtId="164" fontId="0" fillId="15" borderId="1" xfId="0" applyNumberFormat="1" applyFill="1" applyBorder="1" applyAlignment="1">
      <alignment horizontal="center" vertical="center" wrapText="1"/>
    </xf>
    <xf numFmtId="0" fontId="0" fillId="9" borderId="0" xfId="0" applyFill="1"/>
    <xf numFmtId="0" fontId="23" fillId="9" borderId="1" xfId="0" applyFont="1" applyFill="1" applyBorder="1" applyAlignment="1">
      <alignment horizontal="center" vertical="top"/>
    </xf>
    <xf numFmtId="15" fontId="23" fillId="9" borderId="1" xfId="0" applyNumberFormat="1" applyFont="1" applyFill="1" applyBorder="1" applyAlignment="1">
      <alignment horizontal="center" vertical="top"/>
    </xf>
    <xf numFmtId="0" fontId="23" fillId="9" borderId="1" xfId="0" applyFont="1" applyFill="1" applyBorder="1" applyAlignment="1">
      <alignment horizontal="center" vertical="top" wrapText="1"/>
    </xf>
    <xf numFmtId="0" fontId="4" fillId="9" borderId="1" xfId="0" applyFont="1" applyFill="1" applyBorder="1" applyAlignment="1">
      <alignment horizontal="center" vertical="top"/>
    </xf>
    <xf numFmtId="0" fontId="4" fillId="9" borderId="1" xfId="0" applyFont="1" applyFill="1" applyBorder="1" applyAlignment="1">
      <alignment horizontal="center" vertical="top" wrapText="1"/>
    </xf>
    <xf numFmtId="0" fontId="9" fillId="9"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4" fillId="9" borderId="1" xfId="0" applyFont="1" applyFill="1" applyBorder="1" applyAlignment="1">
      <alignment horizontal="center" vertical="center" wrapText="1"/>
    </xf>
    <xf numFmtId="169" fontId="4" fillId="9" borderId="1" xfId="0" applyNumberFormat="1" applyFont="1" applyFill="1" applyBorder="1" applyAlignment="1">
      <alignment horizontal="center" vertical="center"/>
    </xf>
    <xf numFmtId="167" fontId="4" fillId="9" borderId="1" xfId="0" applyNumberFormat="1" applyFont="1" applyFill="1" applyBorder="1" applyAlignment="1">
      <alignment horizontal="center" vertical="center" wrapText="1"/>
    </xf>
    <xf numFmtId="164" fontId="0" fillId="9" borderId="1" xfId="0" applyNumberFormat="1" applyFill="1" applyBorder="1" applyAlignment="1">
      <alignment horizontal="center" vertical="center" wrapText="1"/>
    </xf>
    <xf numFmtId="0" fontId="35" fillId="4" borderId="1" xfId="0" applyFont="1" applyFill="1" applyBorder="1" applyAlignment="1">
      <alignment horizontal="center" vertical="top"/>
    </xf>
    <xf numFmtId="15" fontId="35" fillId="4" borderId="1" xfId="0" applyNumberFormat="1" applyFont="1" applyFill="1" applyBorder="1" applyAlignment="1">
      <alignment horizontal="center" vertical="top"/>
    </xf>
    <xf numFmtId="0" fontId="35" fillId="4" borderId="1" xfId="0" applyFont="1" applyFill="1" applyBorder="1" applyAlignment="1">
      <alignment horizontal="center" vertical="top" wrapText="1"/>
    </xf>
    <xf numFmtId="0" fontId="77" fillId="4" borderId="1" xfId="0" applyFont="1" applyFill="1" applyBorder="1" applyAlignment="1">
      <alignment horizontal="center" vertical="top" wrapText="1"/>
    </xf>
    <xf numFmtId="169" fontId="38" fillId="8" borderId="1" xfId="0" applyNumberFormat="1" applyFont="1" applyFill="1" applyBorder="1" applyAlignment="1">
      <alignment horizontal="center" vertical="center" wrapText="1"/>
    </xf>
    <xf numFmtId="0" fontId="68" fillId="4" borderId="1" xfId="0" applyFont="1" applyFill="1" applyBorder="1" applyAlignment="1">
      <alignment horizontal="center" vertical="top"/>
    </xf>
    <xf numFmtId="15" fontId="68" fillId="4" borderId="1" xfId="0" applyNumberFormat="1" applyFont="1" applyFill="1" applyBorder="1" applyAlignment="1">
      <alignment horizontal="center" vertical="top" wrapText="1"/>
    </xf>
    <xf numFmtId="169" fontId="69" fillId="8" borderId="1" xfId="0" applyNumberFormat="1" applyFont="1" applyFill="1" applyBorder="1" applyAlignment="1">
      <alignment horizontal="center" vertical="center"/>
    </xf>
    <xf numFmtId="15" fontId="3" fillId="4" borderId="1" xfId="0" applyNumberFormat="1" applyFont="1" applyFill="1" applyBorder="1" applyAlignment="1">
      <alignment horizontal="center" vertical="top" wrapText="1"/>
    </xf>
    <xf numFmtId="166" fontId="17" fillId="4" borderId="1" xfId="0" applyNumberFormat="1" applyFont="1" applyFill="1" applyBorder="1" applyAlignment="1">
      <alignment horizontal="center" vertical="top" wrapText="1"/>
    </xf>
    <xf numFmtId="0" fontId="38" fillId="4" borderId="0" xfId="0" applyFont="1" applyFill="1"/>
    <xf numFmtId="169" fontId="9" fillId="15" borderId="1" xfId="0" applyNumberFormat="1" applyFont="1" applyFill="1" applyBorder="1" applyAlignment="1">
      <alignment horizontal="center" vertical="center"/>
    </xf>
    <xf numFmtId="0" fontId="3" fillId="9" borderId="1" xfId="0" applyFont="1" applyFill="1" applyBorder="1" applyAlignment="1">
      <alignment horizontal="center" vertical="top"/>
    </xf>
    <xf numFmtId="0" fontId="3" fillId="9" borderId="1" xfId="0" applyFont="1" applyFill="1" applyBorder="1" applyAlignment="1">
      <alignment horizontal="center" vertical="top" wrapText="1"/>
    </xf>
    <xf numFmtId="0" fontId="9" fillId="9" borderId="1" xfId="0" applyFont="1" applyFill="1" applyBorder="1" applyAlignment="1">
      <alignment horizontal="center" vertical="center"/>
    </xf>
    <xf numFmtId="167" fontId="9" fillId="9" borderId="1" xfId="0" applyNumberFormat="1" applyFont="1" applyFill="1" applyBorder="1" applyAlignment="1">
      <alignment horizontal="center" vertical="center"/>
    </xf>
    <xf numFmtId="164" fontId="9" fillId="9" borderId="1" xfId="0" applyNumberFormat="1" applyFont="1" applyFill="1" applyBorder="1" applyAlignment="1">
      <alignment horizontal="center" vertical="center" wrapText="1"/>
    </xf>
    <xf numFmtId="0" fontId="12" fillId="15" borderId="1" xfId="0" applyFont="1" applyFill="1" applyBorder="1" applyAlignment="1">
      <alignment horizontal="center" vertical="top"/>
    </xf>
    <xf numFmtId="0" fontId="13" fillId="15" borderId="1" xfId="0" applyFont="1" applyFill="1" applyBorder="1" applyAlignment="1">
      <alignment horizontal="center" vertical="top" wrapText="1"/>
    </xf>
    <xf numFmtId="0" fontId="15" fillId="15" borderId="1" xfId="0" applyFont="1" applyFill="1" applyBorder="1" applyAlignment="1">
      <alignment horizontal="center" vertical="top"/>
    </xf>
    <xf numFmtId="0" fontId="15" fillId="15" borderId="1" xfId="0" applyFont="1" applyFill="1" applyBorder="1" applyAlignment="1">
      <alignment horizontal="center" vertical="top" wrapText="1"/>
    </xf>
    <xf numFmtId="0" fontId="15" fillId="15" borderId="1" xfId="0" applyFont="1" applyFill="1" applyBorder="1" applyAlignment="1">
      <alignment horizontal="center" vertical="center" wrapText="1"/>
    </xf>
    <xf numFmtId="0" fontId="9" fillId="15" borderId="1" xfId="0" applyFont="1" applyFill="1" applyBorder="1" applyAlignment="1">
      <alignment horizontal="center" vertical="center"/>
    </xf>
    <xf numFmtId="0" fontId="15" fillId="15" borderId="1" xfId="0" applyFont="1" applyFill="1" applyBorder="1" applyAlignment="1">
      <alignment horizontal="center" vertical="center"/>
    </xf>
    <xf numFmtId="169" fontId="15" fillId="15" borderId="1" xfId="0" applyNumberFormat="1" applyFont="1" applyFill="1" applyBorder="1" applyAlignment="1">
      <alignment horizontal="center" vertical="center"/>
    </xf>
    <xf numFmtId="167" fontId="15" fillId="9" borderId="1" xfId="0" applyNumberFormat="1" applyFont="1" applyFill="1" applyBorder="1" applyAlignment="1">
      <alignment horizontal="center" vertical="center"/>
    </xf>
    <xf numFmtId="164" fontId="15" fillId="15" borderId="1" xfId="0" applyNumberFormat="1" applyFont="1" applyFill="1" applyBorder="1" applyAlignment="1">
      <alignment horizontal="center" vertical="center" wrapText="1"/>
    </xf>
    <xf numFmtId="15" fontId="3" fillId="9" borderId="1" xfId="0" applyNumberFormat="1" applyFont="1" applyFill="1" applyBorder="1" applyAlignment="1">
      <alignment horizontal="center" vertical="top"/>
    </xf>
    <xf numFmtId="0" fontId="9" fillId="9" borderId="1" xfId="0" applyFont="1" applyFill="1" applyBorder="1" applyAlignment="1">
      <alignment horizontal="center" vertical="top" wrapText="1"/>
    </xf>
    <xf numFmtId="164" fontId="9" fillId="9" borderId="1" xfId="0" applyNumberFormat="1" applyFont="1" applyFill="1" applyBorder="1" applyAlignment="1">
      <alignment horizontal="center" vertical="center"/>
    </xf>
    <xf numFmtId="0" fontId="9" fillId="0" borderId="0" xfId="0" applyFont="1" applyAlignment="1">
      <alignment horizontal="center" vertical="top"/>
    </xf>
    <xf numFmtId="0" fontId="4" fillId="0" borderId="0" xfId="0" applyFont="1" applyAlignment="1">
      <alignment horizontal="center" vertical="top"/>
    </xf>
    <xf numFmtId="0" fontId="38" fillId="4" borderId="3" xfId="0" applyFont="1" applyFill="1" applyBorder="1" applyAlignment="1">
      <alignment horizontal="center" vertical="center" wrapText="1"/>
    </xf>
    <xf numFmtId="167" fontId="4" fillId="8" borderId="1" xfId="0" applyNumberFormat="1" applyFont="1" applyFill="1" applyBorder="1" applyAlignment="1">
      <alignment horizontal="center" vertical="center" wrapText="1"/>
    </xf>
    <xf numFmtId="0" fontId="38" fillId="4" borderId="3" xfId="0" applyFont="1" applyFill="1" applyBorder="1" applyAlignment="1">
      <alignment horizontal="center" vertical="top" wrapText="1"/>
    </xf>
    <xf numFmtId="0" fontId="41" fillId="4" borderId="1" xfId="0" applyFont="1" applyFill="1" applyBorder="1" applyAlignment="1">
      <alignment horizontal="center" vertical="center"/>
    </xf>
    <xf numFmtId="0" fontId="41" fillId="4" borderId="1" xfId="0" applyFont="1" applyFill="1" applyBorder="1" applyAlignment="1">
      <alignment horizontal="center" vertical="center" wrapText="1"/>
    </xf>
    <xf numFmtId="169" fontId="41" fillId="4" borderId="1" xfId="0" applyNumberFormat="1" applyFont="1" applyFill="1" applyBorder="1" applyAlignment="1">
      <alignment horizontal="center" vertical="center"/>
    </xf>
    <xf numFmtId="167" fontId="41" fillId="4" borderId="1" xfId="0" applyNumberFormat="1" applyFont="1" applyFill="1" applyBorder="1" applyAlignment="1">
      <alignment horizontal="center" vertical="center" wrapText="1"/>
    </xf>
    <xf numFmtId="169" fontId="38" fillId="4" borderId="1" xfId="0" applyNumberFormat="1" applyFont="1" applyFill="1" applyBorder="1" applyAlignment="1">
      <alignment horizontal="center" vertical="center"/>
    </xf>
    <xf numFmtId="0" fontId="9" fillId="4" borderId="6" xfId="7" applyFont="1" applyFill="1" applyAlignment="1">
      <alignment horizontal="center" vertical="center"/>
    </xf>
    <xf numFmtId="169" fontId="9" fillId="16" borderId="6" xfId="0" applyNumberFormat="1" applyFont="1" applyFill="1" applyBorder="1" applyAlignment="1">
      <alignment horizontal="center" vertical="center"/>
    </xf>
    <xf numFmtId="0" fontId="16" fillId="8" borderId="1" xfId="0" applyFont="1" applyFill="1" applyBorder="1" applyAlignment="1">
      <alignment horizontal="center" vertical="top" wrapText="1"/>
    </xf>
    <xf numFmtId="167" fontId="38" fillId="4" borderId="0" xfId="0" applyNumberFormat="1" applyFont="1" applyFill="1" applyAlignment="1">
      <alignment horizontal="center" vertical="center" wrapText="1"/>
    </xf>
    <xf numFmtId="0" fontId="28" fillId="4" borderId="1" xfId="0" applyFont="1" applyFill="1" applyBorder="1" applyAlignment="1">
      <alignment horizontal="center" vertical="top" wrapText="1"/>
    </xf>
    <xf numFmtId="0" fontId="16" fillId="2" borderId="1" xfId="0" applyFont="1" applyFill="1" applyBorder="1" applyAlignment="1">
      <alignment horizontal="center" vertical="center" wrapText="1"/>
    </xf>
    <xf numFmtId="0" fontId="84" fillId="4" borderId="9" xfId="7" applyFont="1" applyFill="1" applyBorder="1" applyAlignment="1">
      <alignment horizontal="center" vertical="center"/>
    </xf>
    <xf numFmtId="0" fontId="83" fillId="4" borderId="10" xfId="7" applyFill="1" applyBorder="1"/>
    <xf numFmtId="17" fontId="8" fillId="4" borderId="1" xfId="0" applyNumberFormat="1" applyFont="1" applyFill="1" applyBorder="1" applyAlignment="1">
      <alignment horizontal="center" vertical="top"/>
    </xf>
    <xf numFmtId="15" fontId="84" fillId="4" borderId="9" xfId="7" applyNumberFormat="1" applyFont="1" applyFill="1" applyBorder="1" applyAlignment="1">
      <alignment horizontal="center" vertical="center"/>
    </xf>
    <xf numFmtId="0" fontId="3" fillId="0" borderId="6" xfId="7" applyFont="1" applyFill="1" applyAlignment="1">
      <alignment horizontal="center" vertical="top"/>
    </xf>
    <xf numFmtId="15" fontId="4" fillId="0" borderId="6" xfId="7" applyNumberFormat="1" applyFont="1" applyFill="1" applyAlignment="1">
      <alignment horizontal="center" vertical="top" wrapText="1"/>
    </xf>
    <xf numFmtId="0" fontId="23" fillId="0" borderId="6" xfId="7" applyFont="1" applyFill="1" applyAlignment="1">
      <alignment horizontal="center" vertical="center" wrapText="1"/>
    </xf>
    <xf numFmtId="0" fontId="9" fillId="0" borderId="6" xfId="7" applyFont="1" applyFill="1" applyAlignment="1">
      <alignment horizontal="center" vertical="top"/>
    </xf>
    <xf numFmtId="0" fontId="4" fillId="0" borderId="6" xfId="7" applyFont="1" applyFill="1" applyAlignment="1">
      <alignment horizontal="center" vertical="top" wrapText="1"/>
    </xf>
    <xf numFmtId="0" fontId="83" fillId="0" borderId="6" xfId="7" applyFill="1"/>
    <xf numFmtId="0" fontId="84" fillId="0" borderId="7" xfId="7" applyFont="1" applyFill="1" applyBorder="1" applyAlignment="1">
      <alignment horizontal="center" vertical="center" wrapText="1"/>
    </xf>
    <xf numFmtId="0" fontId="42" fillId="0" borderId="1" xfId="0" applyFont="1" applyBorder="1" applyAlignment="1">
      <alignment horizontal="center" vertical="center"/>
    </xf>
    <xf numFmtId="15" fontId="42" fillId="0" borderId="1" xfId="0" applyNumberFormat="1" applyFont="1" applyBorder="1" applyAlignment="1">
      <alignment horizontal="center" vertical="center"/>
    </xf>
    <xf numFmtId="0" fontId="4" fillId="11" borderId="1" xfId="0" applyFont="1" applyFill="1" applyBorder="1" applyAlignment="1">
      <alignment horizontal="center" vertical="top" wrapText="1"/>
    </xf>
    <xf numFmtId="167" fontId="4" fillId="12" borderId="1" xfId="0" applyNumberFormat="1" applyFont="1" applyFill="1" applyBorder="1" applyAlignment="1">
      <alignment horizontal="center" vertical="center" wrapText="1"/>
    </xf>
    <xf numFmtId="0" fontId="4" fillId="12" borderId="1" xfId="0" applyFont="1" applyFill="1" applyBorder="1" applyAlignment="1">
      <alignment horizontal="center" vertical="center" wrapText="1"/>
    </xf>
    <xf numFmtId="167" fontId="9" fillId="11" borderId="1" xfId="0" applyNumberFormat="1" applyFont="1" applyFill="1" applyBorder="1" applyAlignment="1">
      <alignment horizontal="center" vertical="center" wrapText="1"/>
    </xf>
    <xf numFmtId="0" fontId="84" fillId="0" borderId="6" xfId="7" applyFont="1" applyFill="1" applyAlignment="1">
      <alignment horizontal="center" vertical="center" wrapText="1"/>
    </xf>
    <xf numFmtId="169" fontId="28" fillId="12" borderId="1" xfId="0" applyNumberFormat="1" applyFont="1" applyFill="1" applyBorder="1" applyAlignment="1">
      <alignment horizontal="center" vertical="center"/>
    </xf>
    <xf numFmtId="167" fontId="28" fillId="12" borderId="1" xfId="0" applyNumberFormat="1" applyFont="1" applyFill="1" applyBorder="1" applyAlignment="1">
      <alignment horizontal="center" vertical="center"/>
    </xf>
    <xf numFmtId="0" fontId="28" fillId="12" borderId="1" xfId="0" applyFont="1" applyFill="1" applyBorder="1" applyAlignment="1">
      <alignment horizontal="center" vertical="center" wrapText="1"/>
    </xf>
    <xf numFmtId="0" fontId="28" fillId="12" borderId="1" xfId="0" applyFont="1" applyFill="1" applyBorder="1" applyAlignment="1">
      <alignment horizontal="center" vertical="top" wrapText="1"/>
    </xf>
    <xf numFmtId="0" fontId="4" fillId="12" borderId="1" xfId="0" applyFont="1" applyFill="1" applyBorder="1" applyAlignment="1">
      <alignment horizontal="center" vertical="center"/>
    </xf>
    <xf numFmtId="167" fontId="15" fillId="11" borderId="1" xfId="0" applyNumberFormat="1" applyFont="1" applyFill="1" applyBorder="1" applyAlignment="1">
      <alignment horizontal="center" vertical="center"/>
    </xf>
    <xf numFmtId="0" fontId="15" fillId="11" borderId="1" xfId="0" applyFont="1" applyFill="1" applyBorder="1" applyAlignment="1">
      <alignment horizontal="center" vertical="center" wrapText="1"/>
    </xf>
    <xf numFmtId="169" fontId="15" fillId="11" borderId="1" xfId="0" applyNumberFormat="1" applyFont="1" applyFill="1" applyBorder="1" applyAlignment="1">
      <alignment horizontal="center" vertical="center"/>
    </xf>
    <xf numFmtId="167" fontId="16" fillId="12" borderId="1" xfId="0" applyNumberFormat="1" applyFont="1" applyFill="1" applyBorder="1" applyAlignment="1">
      <alignment horizontal="center" vertical="center"/>
    </xf>
    <xf numFmtId="167" fontId="15" fillId="4" borderId="1" xfId="0" applyNumberFormat="1" applyFont="1" applyFill="1" applyBorder="1" applyAlignment="1">
      <alignment horizontal="center" vertical="center"/>
    </xf>
    <xf numFmtId="0" fontId="15" fillId="4" borderId="1" xfId="0" applyFont="1" applyFill="1" applyBorder="1" applyAlignment="1">
      <alignment horizontal="center" vertical="center" wrapText="1"/>
    </xf>
    <xf numFmtId="15" fontId="3" fillId="4" borderId="1" xfId="0" applyNumberFormat="1" applyFont="1" applyFill="1" applyBorder="1" applyAlignment="1">
      <alignment horizontal="center" vertical="top"/>
    </xf>
    <xf numFmtId="167" fontId="38" fillId="15" borderId="1" xfId="0" applyNumberFormat="1" applyFont="1" applyFill="1" applyBorder="1" applyAlignment="1">
      <alignment horizontal="center" vertical="center" wrapText="1"/>
    </xf>
    <xf numFmtId="0" fontId="38" fillId="15" borderId="1" xfId="0" applyFont="1" applyFill="1" applyBorder="1" applyAlignment="1">
      <alignment horizontal="center" vertical="center" wrapText="1"/>
    </xf>
    <xf numFmtId="0" fontId="35" fillId="15" borderId="1" xfId="0" applyFont="1" applyFill="1" applyBorder="1" applyAlignment="1">
      <alignment horizontal="center" vertical="top"/>
    </xf>
    <xf numFmtId="15" fontId="35" fillId="15" borderId="1" xfId="0" applyNumberFormat="1" applyFont="1" applyFill="1" applyBorder="1" applyAlignment="1">
      <alignment horizontal="center" vertical="top"/>
    </xf>
    <xf numFmtId="0" fontId="35" fillId="15" borderId="1" xfId="0" applyFont="1" applyFill="1" applyBorder="1" applyAlignment="1">
      <alignment horizontal="center" vertical="top" wrapText="1"/>
    </xf>
    <xf numFmtId="0" fontId="77" fillId="15" borderId="1" xfId="0" applyFont="1" applyFill="1" applyBorder="1" applyAlignment="1">
      <alignment horizontal="center" vertical="top" wrapText="1"/>
    </xf>
    <xf numFmtId="0" fontId="38" fillId="15" borderId="1" xfId="0" applyFont="1" applyFill="1" applyBorder="1" applyAlignment="1">
      <alignment horizontal="center" vertical="top"/>
    </xf>
    <xf numFmtId="0" fontId="38" fillId="15" borderId="1" xfId="0" applyFont="1" applyFill="1" applyBorder="1" applyAlignment="1">
      <alignment horizontal="center" vertical="top" wrapText="1"/>
    </xf>
    <xf numFmtId="0" fontId="38" fillId="15" borderId="1" xfId="0" applyFont="1" applyFill="1" applyBorder="1" applyAlignment="1">
      <alignment horizontal="center" vertical="center"/>
    </xf>
    <xf numFmtId="169" fontId="38" fillId="15" borderId="1" xfId="0" applyNumberFormat="1" applyFont="1" applyFill="1" applyBorder="1" applyAlignment="1">
      <alignment horizontal="center" vertical="center"/>
    </xf>
    <xf numFmtId="164" fontId="38" fillId="15" borderId="1" xfId="0" applyNumberFormat="1" applyFont="1" applyFill="1" applyBorder="1" applyAlignment="1">
      <alignment horizontal="center" vertical="center" wrapText="1"/>
    </xf>
    <xf numFmtId="0" fontId="3" fillId="15" borderId="1" xfId="0" applyFont="1" applyFill="1" applyBorder="1" applyAlignment="1">
      <alignment horizontal="center" vertical="top"/>
    </xf>
    <xf numFmtId="15" fontId="3" fillId="15" borderId="1" xfId="0" applyNumberFormat="1" applyFont="1" applyFill="1" applyBorder="1" applyAlignment="1">
      <alignment horizontal="center" vertical="top"/>
    </xf>
    <xf numFmtId="0" fontId="3" fillId="15" borderId="1" xfId="0" applyFont="1" applyFill="1" applyBorder="1" applyAlignment="1">
      <alignment horizontal="center" vertical="top" wrapText="1"/>
    </xf>
    <xf numFmtId="0" fontId="9" fillId="15" borderId="1" xfId="0" applyFont="1" applyFill="1" applyBorder="1" applyAlignment="1">
      <alignment horizontal="center" vertical="top"/>
    </xf>
    <xf numFmtId="0" fontId="9" fillId="15" borderId="1" xfId="0" applyFont="1" applyFill="1" applyBorder="1" applyAlignment="1">
      <alignment horizontal="center" vertical="top" wrapText="1"/>
    </xf>
    <xf numFmtId="167" fontId="9" fillId="15" borderId="1" xfId="0" applyNumberFormat="1" applyFont="1" applyFill="1" applyBorder="1" applyAlignment="1">
      <alignment horizontal="center" vertical="center" wrapText="1"/>
    </xf>
    <xf numFmtId="164" fontId="9" fillId="15" borderId="1" xfId="0" applyNumberFormat="1" applyFont="1" applyFill="1" applyBorder="1" applyAlignment="1">
      <alignment horizontal="center" vertical="center" wrapText="1"/>
    </xf>
    <xf numFmtId="0" fontId="39" fillId="9" borderId="0" xfId="0" applyFont="1" applyFill="1" applyAlignment="1">
      <alignment horizontal="center"/>
    </xf>
    <xf numFmtId="0" fontId="9"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69" fontId="16" fillId="15" borderId="1" xfId="0" applyNumberFormat="1" applyFont="1" applyFill="1" applyBorder="1" applyAlignment="1">
      <alignment horizontal="center" vertical="center"/>
    </xf>
    <xf numFmtId="167" fontId="9" fillId="15" borderId="1" xfId="0" applyNumberFormat="1" applyFont="1" applyFill="1" applyBorder="1" applyAlignment="1">
      <alignment horizontal="center" vertical="center"/>
    </xf>
    <xf numFmtId="0" fontId="84" fillId="4" borderId="8" xfId="7" applyFont="1" applyFill="1" applyBorder="1" applyAlignment="1">
      <alignment horizontal="center" vertical="center"/>
    </xf>
    <xf numFmtId="167" fontId="4" fillId="2" borderId="1" xfId="0" applyNumberFormat="1"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6" fillId="2" borderId="1" xfId="0" applyFont="1" applyFill="1" applyBorder="1" applyAlignment="1">
      <alignment horizontal="center" vertical="top" wrapText="1"/>
    </xf>
    <xf numFmtId="169" fontId="9" fillId="2" borderId="1" xfId="0" applyNumberFormat="1" applyFont="1" applyFill="1" applyBorder="1" applyAlignment="1">
      <alignment horizontal="center" vertical="center"/>
    </xf>
    <xf numFmtId="0" fontId="9" fillId="14" borderId="1" xfId="0" applyFont="1" applyFill="1" applyBorder="1" applyAlignment="1">
      <alignment horizontal="center" vertical="center" wrapText="1"/>
    </xf>
    <xf numFmtId="169" fontId="9" fillId="14" borderId="1" xfId="0" applyNumberFormat="1" applyFont="1" applyFill="1" applyBorder="1" applyAlignment="1">
      <alignment horizontal="center" vertical="center"/>
    </xf>
    <xf numFmtId="0" fontId="12" fillId="15" borderId="1" xfId="0" applyFont="1" applyFill="1" applyBorder="1" applyAlignment="1">
      <alignment horizontal="center" vertical="top" wrapText="1"/>
    </xf>
    <xf numFmtId="0" fontId="76" fillId="15" borderId="1" xfId="0" applyFont="1" applyFill="1" applyBorder="1" applyAlignment="1">
      <alignment horizontal="center" vertical="top" wrapText="1"/>
    </xf>
    <xf numFmtId="0" fontId="16" fillId="15" borderId="1" xfId="0" applyFont="1" applyFill="1" applyBorder="1" applyAlignment="1">
      <alignment horizontal="center" vertical="center"/>
    </xf>
    <xf numFmtId="169" fontId="15" fillId="9" borderId="1" xfId="0" applyNumberFormat="1" applyFont="1" applyFill="1" applyBorder="1" applyAlignment="1">
      <alignment horizontal="center" vertical="center"/>
    </xf>
    <xf numFmtId="164" fontId="15" fillId="9" borderId="1" xfId="0" applyNumberFormat="1" applyFont="1" applyFill="1" applyBorder="1" applyAlignment="1">
      <alignment horizontal="center" vertical="center" wrapText="1"/>
    </xf>
    <xf numFmtId="0" fontId="8" fillId="9" borderId="0" xfId="0" applyFont="1" applyFill="1"/>
    <xf numFmtId="169" fontId="4" fillId="2" borderId="1" xfId="0" applyNumberFormat="1" applyFont="1" applyFill="1" applyBorder="1" applyAlignment="1">
      <alignment horizontal="center" vertical="center"/>
    </xf>
    <xf numFmtId="0" fontId="3" fillId="2" borderId="1" xfId="0" applyFont="1" applyFill="1" applyBorder="1" applyAlignment="1">
      <alignment horizontal="center" vertical="top" wrapText="1"/>
    </xf>
    <xf numFmtId="0" fontId="9" fillId="2" borderId="1" xfId="0" applyFont="1" applyFill="1" applyBorder="1" applyAlignment="1">
      <alignment horizontal="center" vertical="top" wrapText="1"/>
    </xf>
    <xf numFmtId="167" fontId="9" fillId="2" borderId="1" xfId="0" applyNumberFormat="1" applyFont="1" applyFill="1" applyBorder="1" applyAlignment="1">
      <alignment horizontal="center" vertical="center"/>
    </xf>
    <xf numFmtId="0" fontId="64" fillId="0" borderId="0" xfId="0" applyFont="1" applyAlignment="1">
      <alignment horizontal="center" vertical="center"/>
    </xf>
    <xf numFmtId="167" fontId="2" fillId="0" borderId="0" xfId="0" applyNumberFormat="1" applyFont="1" applyAlignment="1">
      <alignment horizontal="center"/>
    </xf>
    <xf numFmtId="0" fontId="9" fillId="0" borderId="1" xfId="0" applyFont="1" applyFill="1" applyBorder="1" applyAlignment="1">
      <alignment horizontal="center" vertical="center" wrapText="1"/>
    </xf>
    <xf numFmtId="169" fontId="9" fillId="0" borderId="1" xfId="0" applyNumberFormat="1" applyFont="1" applyFill="1" applyBorder="1" applyAlignment="1">
      <alignment horizontal="center" vertical="center"/>
    </xf>
    <xf numFmtId="0" fontId="16" fillId="0" borderId="1" xfId="0" applyFont="1" applyFill="1" applyBorder="1" applyAlignment="1">
      <alignment horizontal="center" vertical="top" wrapText="1"/>
    </xf>
    <xf numFmtId="0" fontId="12" fillId="0" borderId="1" xfId="0" applyFont="1" applyFill="1" applyBorder="1" applyAlignment="1">
      <alignment horizontal="center" vertical="top" wrapText="1"/>
    </xf>
    <xf numFmtId="0" fontId="16" fillId="0" borderId="1" xfId="0" applyFont="1" applyFill="1" applyBorder="1" applyAlignment="1">
      <alignment horizontal="center" vertical="top"/>
    </xf>
    <xf numFmtId="0" fontId="16" fillId="0" borderId="1" xfId="0" applyFont="1" applyFill="1" applyBorder="1" applyAlignment="1">
      <alignment horizontal="center" vertical="center" wrapText="1"/>
    </xf>
    <xf numFmtId="169" fontId="16"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167" fontId="4" fillId="0" borderId="1" xfId="0" applyNumberFormat="1" applyFont="1" applyFill="1" applyBorder="1" applyAlignment="1">
      <alignment horizontal="center" vertical="center" wrapText="1"/>
    </xf>
    <xf numFmtId="169" fontId="4" fillId="0" borderId="1" xfId="0" applyNumberFormat="1" applyFont="1" applyFill="1" applyBorder="1" applyAlignment="1">
      <alignment horizontal="center" vertical="center"/>
    </xf>
    <xf numFmtId="0" fontId="38" fillId="0" borderId="1" xfId="0" applyFont="1" applyFill="1" applyBorder="1" applyAlignment="1">
      <alignment horizontal="center" vertical="center" wrapText="1"/>
    </xf>
    <xf numFmtId="0" fontId="9" fillId="0" borderId="1" xfId="7" applyFont="1" applyFill="1" applyBorder="1" applyAlignment="1">
      <alignment horizontal="center" vertical="center"/>
    </xf>
    <xf numFmtId="169" fontId="9" fillId="0" borderId="1" xfId="7" applyNumberFormat="1" applyFont="1" applyFill="1" applyBorder="1" applyAlignment="1">
      <alignment horizontal="center" vertical="center"/>
    </xf>
    <xf numFmtId="0" fontId="3" fillId="0" borderId="1" xfId="0" applyFont="1" applyFill="1" applyBorder="1" applyAlignment="1">
      <alignment horizontal="center" vertical="top" wrapText="1"/>
    </xf>
    <xf numFmtId="15" fontId="3" fillId="0" borderId="1" xfId="0" applyNumberFormat="1" applyFont="1" applyFill="1" applyBorder="1" applyAlignment="1">
      <alignment horizontal="center" vertical="top"/>
    </xf>
    <xf numFmtId="0" fontId="9" fillId="0" borderId="1" xfId="0" applyFont="1" applyFill="1" applyBorder="1" applyAlignment="1">
      <alignment horizontal="center" vertical="top" wrapText="1"/>
    </xf>
    <xf numFmtId="0" fontId="9" fillId="0" borderId="1" xfId="0" applyFont="1" applyFill="1" applyBorder="1" applyAlignment="1">
      <alignment horizontal="center" vertical="top"/>
    </xf>
    <xf numFmtId="0" fontId="9" fillId="0" borderId="1" xfId="0" applyFont="1" applyFill="1" applyBorder="1" applyAlignment="1">
      <alignment horizontal="center" vertical="center"/>
    </xf>
    <xf numFmtId="167" fontId="9" fillId="0" borderId="1" xfId="0" applyNumberFormat="1" applyFont="1" applyFill="1" applyBorder="1" applyAlignment="1">
      <alignment horizontal="center" vertical="center"/>
    </xf>
    <xf numFmtId="164" fontId="9" fillId="0" borderId="1" xfId="0" applyNumberFormat="1" applyFont="1" applyFill="1" applyBorder="1" applyAlignment="1">
      <alignment horizontal="center" vertical="top" wrapText="1"/>
    </xf>
    <xf numFmtId="0" fontId="4" fillId="0" borderId="0" xfId="0" applyFont="1" applyFill="1"/>
    <xf numFmtId="166" fontId="23" fillId="2" borderId="1" xfId="0" applyNumberFormat="1" applyFont="1" applyFill="1" applyBorder="1" applyAlignment="1">
      <alignment horizontal="center" vertical="top" wrapText="1"/>
    </xf>
    <xf numFmtId="0" fontId="4" fillId="2"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4" fillId="2" borderId="1" xfId="0" applyFont="1" applyFill="1" applyBorder="1" applyAlignment="1">
      <alignment horizontal="center" vertical="top"/>
    </xf>
    <xf numFmtId="0" fontId="4" fillId="2" borderId="1" xfId="0" applyFont="1" applyFill="1" applyBorder="1" applyAlignment="1">
      <alignment horizontal="center" vertical="center"/>
    </xf>
    <xf numFmtId="0" fontId="0" fillId="2" borderId="0" xfId="0" applyFill="1"/>
    <xf numFmtId="0" fontId="3" fillId="2" borderId="6" xfId="7" applyFont="1" applyFill="1" applyAlignment="1">
      <alignment horizontal="center" vertical="top"/>
    </xf>
    <xf numFmtId="15" fontId="4" fillId="2" borderId="6" xfId="7" applyNumberFormat="1" applyFont="1" applyFill="1" applyAlignment="1">
      <alignment horizontal="center" vertical="top" wrapText="1"/>
    </xf>
    <xf numFmtId="0" fontId="23" fillId="2" borderId="6" xfId="7" applyFont="1" applyFill="1" applyAlignment="1">
      <alignment horizontal="center" vertical="center" wrapText="1"/>
    </xf>
    <xf numFmtId="0" fontId="9" fillId="2" borderId="6" xfId="7" applyFont="1" applyFill="1" applyAlignment="1">
      <alignment horizontal="center" vertical="top"/>
    </xf>
    <xf numFmtId="0" fontId="4" fillId="2" borderId="6" xfId="7" applyFont="1" applyFill="1" applyAlignment="1">
      <alignment horizontal="center" vertical="top" wrapText="1"/>
    </xf>
    <xf numFmtId="0" fontId="83" fillId="2" borderId="6" xfId="7" applyFill="1"/>
    <xf numFmtId="0" fontId="84" fillId="2" borderId="6" xfId="7" applyFont="1" applyFill="1" applyAlignment="1">
      <alignment horizontal="center" vertical="center" wrapText="1"/>
    </xf>
    <xf numFmtId="0" fontId="4" fillId="2" borderId="0" xfId="0" applyFont="1" applyFill="1" applyAlignment="1">
      <alignment horizontal="center" vertical="center"/>
    </xf>
    <xf numFmtId="167" fontId="16" fillId="14" borderId="1" xfId="0" applyNumberFormat="1" applyFont="1" applyFill="1" applyBorder="1" applyAlignment="1">
      <alignment horizontal="center" vertical="center" wrapText="1"/>
    </xf>
    <xf numFmtId="0" fontId="28" fillId="2" borderId="1" xfId="0" applyFont="1" applyFill="1" applyBorder="1" applyAlignment="1">
      <alignment horizontal="center" vertical="center" wrapText="1"/>
    </xf>
    <xf numFmtId="169" fontId="28" fillId="2" borderId="1" xfId="0" applyNumberFormat="1" applyFont="1" applyFill="1" applyBorder="1" applyAlignment="1">
      <alignment horizontal="center" vertical="center"/>
    </xf>
    <xf numFmtId="167" fontId="15" fillId="2" borderId="1" xfId="0" applyNumberFormat="1" applyFont="1" applyFill="1" applyBorder="1" applyAlignment="1">
      <alignment horizontal="center" vertical="center"/>
    </xf>
    <xf numFmtId="0" fontId="15" fillId="2" borderId="1" xfId="0" applyFont="1" applyFill="1" applyBorder="1" applyAlignment="1">
      <alignment horizontal="center" vertical="center" wrapText="1"/>
    </xf>
    <xf numFmtId="167" fontId="9" fillId="14" borderId="1" xfId="0" applyNumberFormat="1" applyFont="1" applyFill="1" applyBorder="1" applyAlignment="1">
      <alignment horizontal="center" vertical="center"/>
    </xf>
    <xf numFmtId="167" fontId="9" fillId="2" borderId="1" xfId="0" applyNumberFormat="1" applyFont="1" applyFill="1" applyBorder="1" applyAlignment="1">
      <alignment horizontal="center" vertical="top" wrapText="1"/>
    </xf>
    <xf numFmtId="167" fontId="9" fillId="2" borderId="1" xfId="0" applyNumberFormat="1" applyFont="1" applyFill="1" applyBorder="1" applyAlignment="1">
      <alignment horizontal="center" vertical="center" wrapText="1"/>
    </xf>
    <xf numFmtId="167" fontId="16" fillId="2" borderId="1" xfId="0" applyNumberFormat="1" applyFont="1" applyFill="1" applyBorder="1" applyAlignment="1">
      <alignment horizontal="center" vertical="center" wrapText="1"/>
    </xf>
    <xf numFmtId="167" fontId="9" fillId="14" borderId="1" xfId="0" applyNumberFormat="1" applyFont="1" applyFill="1" applyBorder="1" applyAlignment="1">
      <alignment horizontal="center" vertical="center" wrapText="1"/>
    </xf>
  </cellXfs>
  <cellStyles count="8">
    <cellStyle name="Currency 2" xfId="2" xr:uid="{82EDD69E-76D0-41E7-A227-C9FBB7EA5DBA}"/>
    <cellStyle name="Currency 2 2" xfId="6" xr:uid="{CF2EC0E2-E5CC-4DAC-B214-5B3E504BC1BB}"/>
    <cellStyle name="Currency 3" xfId="4" xr:uid="{5A9FF332-7CBA-4112-829B-F1CF7DD3AD33}"/>
    <cellStyle name="Normal" xfId="0" builtinId="0"/>
    <cellStyle name="Normal 2" xfId="3" xr:uid="{9AD3705D-E84C-45B7-A8AF-33907A9F3A9A}"/>
    <cellStyle name="Normal 3" xfId="1" xr:uid="{BC40890B-E7C4-446F-A6F7-16501A0F27E4}"/>
    <cellStyle name="Normal 3 2" xfId="5" xr:uid="{8D70EEE0-EF76-4AFC-9603-072089F64BFC}"/>
    <cellStyle name="Output" xfId="7"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vmlDrawing" Target="../drawings/vmlDrawing1.vml"/><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7D8D-E4A6-4578-9997-71953CDA78E4}">
  <dimension ref="A1:AI448"/>
  <sheetViews>
    <sheetView tabSelected="1" zoomScaleNormal="100" workbookViewId="0">
      <pane ySplit="4" topLeftCell="A398" activePane="bottomLeft" state="frozen"/>
      <selection pane="bottomLeft" activeCell="H398" sqref="H398"/>
    </sheetView>
  </sheetViews>
  <sheetFormatPr defaultColWidth="9.140625" defaultRowHeight="15" x14ac:dyDescent="0.25"/>
  <cols>
    <col min="1" max="1" width="27.140625" style="474" bestFit="1" customWidth="1"/>
    <col min="2" max="2" width="14.42578125" style="477" bestFit="1" customWidth="1"/>
    <col min="3" max="3" width="62.5703125" style="477" bestFit="1" customWidth="1"/>
    <col min="4" max="4" width="16.7109375" style="477" customWidth="1"/>
    <col min="5" max="5" width="9.28515625" style="477" customWidth="1"/>
    <col min="6" max="6" width="17" style="477" customWidth="1"/>
    <col min="7" max="7" width="9.140625" style="838" customWidth="1"/>
    <col min="8" max="8" width="47" style="356" customWidth="1"/>
    <col min="9" max="9" width="22.42578125" style="437" customWidth="1"/>
    <col min="10" max="10" width="16.7109375" style="356" bestFit="1" customWidth="1"/>
    <col min="11" max="11" width="17.28515625" style="606" customWidth="1"/>
    <col min="12" max="12" width="27.7109375" style="356" bestFit="1" customWidth="1"/>
    <col min="13" max="13" width="26.42578125" style="427" customWidth="1"/>
    <col min="14" max="14" width="32.42578125" style="356" customWidth="1"/>
    <col min="15" max="15" width="34" style="356" customWidth="1"/>
    <col min="16" max="16" width="9.140625" style="356" customWidth="1"/>
  </cols>
  <sheetData>
    <row r="1" spans="1:16" ht="47.25" customHeight="1" x14ac:dyDescent="0.25">
      <c r="A1" s="923" t="s">
        <v>1664</v>
      </c>
      <c r="B1" s="923"/>
      <c r="C1" s="923"/>
      <c r="D1" s="923"/>
      <c r="E1" s="923"/>
      <c r="F1" s="923"/>
      <c r="G1" s="923"/>
      <c r="H1" s="923"/>
      <c r="I1" s="923"/>
      <c r="J1" s="923"/>
      <c r="K1" s="923"/>
      <c r="L1" s="923"/>
      <c r="M1" s="923"/>
      <c r="N1" s="442"/>
      <c r="O1" s="442"/>
      <c r="P1" s="442"/>
    </row>
    <row r="2" spans="1:16" x14ac:dyDescent="0.25">
      <c r="A2" s="924">
        <f ca="1">TODAY()</f>
        <v>46206</v>
      </c>
      <c r="B2" s="924"/>
      <c r="C2" s="924"/>
      <c r="D2" s="924"/>
      <c r="E2" s="924"/>
      <c r="F2" s="924"/>
      <c r="G2" s="924"/>
      <c r="H2" s="924"/>
      <c r="I2" s="924"/>
      <c r="J2" s="924"/>
      <c r="K2" s="924"/>
      <c r="L2" s="924"/>
      <c r="M2" s="924"/>
      <c r="N2" s="442"/>
      <c r="O2" s="442"/>
      <c r="P2" s="442"/>
    </row>
    <row r="3" spans="1:16" x14ac:dyDescent="0.25">
      <c r="A3" s="642"/>
      <c r="B3" s="480"/>
      <c r="C3" s="475"/>
      <c r="D3" s="475"/>
      <c r="E3" s="478"/>
      <c r="F3" s="478"/>
      <c r="G3" s="837"/>
      <c r="H3" s="382"/>
      <c r="I3" s="381"/>
      <c r="J3" s="382"/>
      <c r="K3" s="574"/>
      <c r="L3" s="428"/>
      <c r="M3" s="466"/>
      <c r="N3" s="382"/>
      <c r="O3" s="382"/>
      <c r="P3" s="382"/>
    </row>
    <row r="4" spans="1:16" ht="24" x14ac:dyDescent="0.25">
      <c r="A4" s="473" t="s">
        <v>0</v>
      </c>
      <c r="B4" s="473" t="s">
        <v>1</v>
      </c>
      <c r="C4" s="473" t="s">
        <v>2</v>
      </c>
      <c r="D4" s="473" t="s">
        <v>2724</v>
      </c>
      <c r="E4" s="479" t="s">
        <v>3</v>
      </c>
      <c r="F4" s="479" t="s">
        <v>4</v>
      </c>
      <c r="G4" s="473" t="s">
        <v>5</v>
      </c>
      <c r="H4" s="333" t="s">
        <v>1967</v>
      </c>
      <c r="I4" s="180" t="s">
        <v>7</v>
      </c>
      <c r="J4" s="333" t="s">
        <v>8</v>
      </c>
      <c r="K4" s="575" t="s">
        <v>9</v>
      </c>
      <c r="L4" s="409" t="s">
        <v>10</v>
      </c>
      <c r="M4" s="333" t="s">
        <v>11</v>
      </c>
      <c r="N4" s="333" t="s">
        <v>13</v>
      </c>
      <c r="O4" s="333" t="s">
        <v>14</v>
      </c>
      <c r="P4" s="333" t="s">
        <v>15</v>
      </c>
    </row>
    <row r="5" spans="1:16" s="33" customFormat="1" ht="24" x14ac:dyDescent="0.2">
      <c r="A5" s="181" t="s">
        <v>16</v>
      </c>
      <c r="B5" s="182"/>
      <c r="C5" s="183" t="s">
        <v>17</v>
      </c>
      <c r="D5" s="183"/>
      <c r="E5" s="184"/>
      <c r="F5" s="184"/>
      <c r="G5" s="184" t="s">
        <v>18</v>
      </c>
      <c r="H5" s="185"/>
      <c r="I5" s="185"/>
      <c r="J5" s="185" t="s">
        <v>1001</v>
      </c>
      <c r="K5" s="576" t="s">
        <v>1001</v>
      </c>
      <c r="L5" s="347"/>
      <c r="M5" s="185"/>
      <c r="N5" s="443"/>
      <c r="O5" s="443"/>
      <c r="P5" s="443"/>
    </row>
    <row r="6" spans="1:16" s="380" customFormat="1" ht="24" x14ac:dyDescent="0.2">
      <c r="A6" s="2" t="s">
        <v>19</v>
      </c>
      <c r="B6" s="2"/>
      <c r="C6" s="3" t="s">
        <v>20</v>
      </c>
      <c r="D6" s="3"/>
      <c r="E6" s="4"/>
      <c r="F6" s="4"/>
      <c r="G6" s="4" t="s">
        <v>18</v>
      </c>
      <c r="H6" s="5"/>
      <c r="I6" s="5"/>
      <c r="J6" s="5" t="s">
        <v>21</v>
      </c>
      <c r="K6" s="576" t="s">
        <v>1001</v>
      </c>
      <c r="L6" s="407"/>
      <c r="M6" s="5"/>
      <c r="N6" s="444"/>
      <c r="O6" s="444"/>
      <c r="P6" s="444"/>
    </row>
    <row r="7" spans="1:16" s="9" customFormat="1" ht="132" x14ac:dyDescent="0.25">
      <c r="A7" s="183">
        <v>5006</v>
      </c>
      <c r="B7" s="183"/>
      <c r="C7" s="191" t="s">
        <v>734</v>
      </c>
      <c r="D7" s="191" t="s">
        <v>2725</v>
      </c>
      <c r="E7" s="184" t="s">
        <v>1729</v>
      </c>
      <c r="F7" s="184" t="s">
        <v>22</v>
      </c>
      <c r="G7" s="192" t="s">
        <v>2567</v>
      </c>
      <c r="H7" s="656" t="s">
        <v>3149</v>
      </c>
      <c r="I7" s="185" t="s">
        <v>24</v>
      </c>
      <c r="J7" s="244" t="s">
        <v>2978</v>
      </c>
      <c r="K7" s="581">
        <v>46387</v>
      </c>
      <c r="L7" s="302" t="s">
        <v>2886</v>
      </c>
      <c r="M7" s="244" t="s">
        <v>26</v>
      </c>
      <c r="N7" s="244" t="s">
        <v>28</v>
      </c>
      <c r="O7" s="244" t="s">
        <v>28</v>
      </c>
      <c r="P7" s="244" t="s">
        <v>29</v>
      </c>
    </row>
    <row r="8" spans="1:16" s="9" customFormat="1" ht="108" x14ac:dyDescent="0.25">
      <c r="A8" s="3">
        <v>5015</v>
      </c>
      <c r="B8" s="3"/>
      <c r="C8" s="10" t="s">
        <v>735</v>
      </c>
      <c r="D8" s="10" t="s">
        <v>2726</v>
      </c>
      <c r="E8" s="4" t="s">
        <v>30</v>
      </c>
      <c r="F8" s="4" t="s">
        <v>31</v>
      </c>
      <c r="G8" s="4" t="s">
        <v>2926</v>
      </c>
      <c r="H8" s="20" t="s">
        <v>2574</v>
      </c>
      <c r="I8" s="5" t="s">
        <v>33</v>
      </c>
      <c r="J8" s="20" t="s">
        <v>678</v>
      </c>
      <c r="K8" s="576">
        <v>46368</v>
      </c>
      <c r="L8" s="410" t="s">
        <v>2890</v>
      </c>
      <c r="M8" s="20" t="s">
        <v>26</v>
      </c>
      <c r="N8" s="462" t="s">
        <v>2130</v>
      </c>
      <c r="O8" s="445" t="s">
        <v>28</v>
      </c>
      <c r="P8" s="445" t="s">
        <v>35</v>
      </c>
    </row>
    <row r="9" spans="1:16" ht="48" x14ac:dyDescent="0.25">
      <c r="A9" s="183">
        <v>5016</v>
      </c>
      <c r="B9" s="183"/>
      <c r="C9" s="191" t="s">
        <v>736</v>
      </c>
      <c r="D9" s="191" t="s">
        <v>2727</v>
      </c>
      <c r="E9" s="184" t="s">
        <v>36</v>
      </c>
      <c r="F9" s="4" t="s">
        <v>37</v>
      </c>
      <c r="G9" s="11" t="s">
        <v>2229</v>
      </c>
      <c r="H9" s="5" t="s">
        <v>28</v>
      </c>
      <c r="I9" s="5" t="s">
        <v>39</v>
      </c>
      <c r="J9" s="5" t="s">
        <v>2158</v>
      </c>
      <c r="K9" s="926">
        <v>46534</v>
      </c>
      <c r="L9" s="407" t="s">
        <v>3076</v>
      </c>
      <c r="M9" s="20" t="s">
        <v>26</v>
      </c>
      <c r="N9" s="446" t="s">
        <v>28</v>
      </c>
      <c r="O9" s="446" t="s">
        <v>28</v>
      </c>
      <c r="P9" s="446" t="s">
        <v>29</v>
      </c>
    </row>
    <row r="10" spans="1:16" ht="48" x14ac:dyDescent="0.25">
      <c r="A10" s="3">
        <v>5022</v>
      </c>
      <c r="B10" s="3"/>
      <c r="C10" s="10" t="s">
        <v>737</v>
      </c>
      <c r="D10" s="10" t="s">
        <v>2725</v>
      </c>
      <c r="E10" s="4" t="s">
        <v>42</v>
      </c>
      <c r="F10" s="4" t="s">
        <v>43</v>
      </c>
      <c r="G10" s="4" t="s">
        <v>2118</v>
      </c>
      <c r="H10" s="5" t="s">
        <v>110</v>
      </c>
      <c r="I10" s="5" t="s">
        <v>33</v>
      </c>
      <c r="J10" s="5" t="s">
        <v>46</v>
      </c>
      <c r="K10" s="576">
        <v>46386</v>
      </c>
      <c r="L10" s="407" t="s">
        <v>2805</v>
      </c>
      <c r="M10" s="20" t="s">
        <v>52</v>
      </c>
      <c r="N10" s="444" t="s">
        <v>28</v>
      </c>
      <c r="O10" s="444" t="s">
        <v>28</v>
      </c>
      <c r="P10" s="444" t="s">
        <v>29</v>
      </c>
    </row>
    <row r="11" spans="1:16" ht="48" x14ac:dyDescent="0.25">
      <c r="A11" s="183">
        <v>5026</v>
      </c>
      <c r="B11" s="183"/>
      <c r="C11" s="357" t="s">
        <v>1717</v>
      </c>
      <c r="D11" s="357" t="s">
        <v>2728</v>
      </c>
      <c r="E11" s="184" t="s">
        <v>48</v>
      </c>
      <c r="F11" s="4" t="s">
        <v>49</v>
      </c>
      <c r="G11" s="4" t="s">
        <v>50</v>
      </c>
      <c r="H11" s="20" t="s">
        <v>2711</v>
      </c>
      <c r="I11" s="17" t="s">
        <v>33</v>
      </c>
      <c r="J11" s="20" t="s">
        <v>678</v>
      </c>
      <c r="K11" s="601">
        <v>46508</v>
      </c>
      <c r="L11" s="407" t="s">
        <v>3055</v>
      </c>
      <c r="M11" s="20" t="s">
        <v>52</v>
      </c>
      <c r="N11" s="446">
        <v>150</v>
      </c>
      <c r="O11" s="446">
        <v>150</v>
      </c>
      <c r="P11" s="446" t="s">
        <v>29</v>
      </c>
    </row>
    <row r="12" spans="1:16" ht="48" x14ac:dyDescent="0.25">
      <c r="A12" s="3">
        <v>5035</v>
      </c>
      <c r="B12" s="3"/>
      <c r="C12" s="10" t="s">
        <v>738</v>
      </c>
      <c r="D12" s="10" t="s">
        <v>2746</v>
      </c>
      <c r="E12" s="4" t="s">
        <v>53</v>
      </c>
      <c r="F12" s="11" t="s">
        <v>54</v>
      </c>
      <c r="G12" s="4" t="s">
        <v>351</v>
      </c>
      <c r="H12" s="20" t="s">
        <v>3016</v>
      </c>
      <c r="I12" s="5" t="s">
        <v>56</v>
      </c>
      <c r="J12" s="20" t="s">
        <v>46</v>
      </c>
      <c r="K12" s="576">
        <v>46336</v>
      </c>
      <c r="L12" s="407" t="s">
        <v>2815</v>
      </c>
      <c r="M12" s="20" t="s">
        <v>26</v>
      </c>
      <c r="N12" s="445">
        <v>150</v>
      </c>
      <c r="O12" s="445"/>
      <c r="P12" s="445" t="s">
        <v>35</v>
      </c>
    </row>
    <row r="13" spans="1:16" s="534" customFormat="1" ht="48" x14ac:dyDescent="0.25">
      <c r="A13" s="772">
        <v>5038</v>
      </c>
      <c r="B13" s="772"/>
      <c r="C13" s="773" t="s">
        <v>739</v>
      </c>
      <c r="D13" s="774" t="s">
        <v>2739</v>
      </c>
      <c r="E13" s="775" t="s">
        <v>57</v>
      </c>
      <c r="F13" s="775" t="s">
        <v>58</v>
      </c>
      <c r="G13" s="776" t="s">
        <v>59</v>
      </c>
      <c r="H13" s="777" t="s">
        <v>2529</v>
      </c>
      <c r="I13" s="494" t="s">
        <v>60</v>
      </c>
      <c r="J13" s="777" t="s">
        <v>678</v>
      </c>
      <c r="K13" s="778">
        <v>46190</v>
      </c>
      <c r="L13" s="779" t="s">
        <v>3123</v>
      </c>
      <c r="M13" s="780" t="s">
        <v>26</v>
      </c>
      <c r="N13" s="781"/>
      <c r="O13" s="781"/>
      <c r="P13" s="781" t="s">
        <v>29</v>
      </c>
    </row>
    <row r="14" spans="1:16" ht="84" x14ac:dyDescent="0.25">
      <c r="A14" s="183">
        <v>5049</v>
      </c>
      <c r="B14" s="183"/>
      <c r="C14" s="191" t="s">
        <v>741</v>
      </c>
      <c r="D14" s="191" t="s">
        <v>2727</v>
      </c>
      <c r="E14" s="184" t="s">
        <v>66</v>
      </c>
      <c r="F14" s="184" t="s">
        <v>67</v>
      </c>
      <c r="G14" s="205" t="s">
        <v>2567</v>
      </c>
      <c r="H14" s="244" t="s">
        <v>68</v>
      </c>
      <c r="I14" s="185" t="s">
        <v>24</v>
      </c>
      <c r="J14" s="185" t="s">
        <v>2978</v>
      </c>
      <c r="K14" s="581">
        <v>46387</v>
      </c>
      <c r="L14" s="347" t="s">
        <v>2857</v>
      </c>
      <c r="M14" s="244" t="s">
        <v>26</v>
      </c>
      <c r="N14" s="446"/>
      <c r="O14" s="446"/>
      <c r="P14" s="446" t="s">
        <v>29</v>
      </c>
    </row>
    <row r="15" spans="1:16" ht="144" x14ac:dyDescent="0.25">
      <c r="A15" s="217">
        <v>5061</v>
      </c>
      <c r="B15" s="183"/>
      <c r="C15" s="218" t="s">
        <v>747</v>
      </c>
      <c r="D15" s="218" t="s">
        <v>2739</v>
      </c>
      <c r="E15" s="219" t="s">
        <v>82</v>
      </c>
      <c r="F15" s="219" t="s">
        <v>83</v>
      </c>
      <c r="G15" s="219" t="s">
        <v>84</v>
      </c>
      <c r="H15" s="205" t="s">
        <v>1984</v>
      </c>
      <c r="I15" s="220" t="s">
        <v>71</v>
      </c>
      <c r="J15" s="282" t="s">
        <v>2158</v>
      </c>
      <c r="K15" s="588">
        <v>46306</v>
      </c>
      <c r="L15" s="412">
        <v>45941</v>
      </c>
      <c r="M15" s="282" t="s">
        <v>2363</v>
      </c>
      <c r="N15" s="448">
        <v>200</v>
      </c>
      <c r="O15" s="448"/>
      <c r="P15" s="448" t="s">
        <v>35</v>
      </c>
    </row>
    <row r="16" spans="1:16" ht="84" x14ac:dyDescent="0.25">
      <c r="A16" s="207">
        <v>5063</v>
      </c>
      <c r="B16" s="207"/>
      <c r="C16" s="226" t="s">
        <v>748</v>
      </c>
      <c r="D16" s="226" t="s">
        <v>2739</v>
      </c>
      <c r="E16" s="209" t="s">
        <v>86</v>
      </c>
      <c r="F16" s="209" t="s">
        <v>87</v>
      </c>
      <c r="G16" s="209" t="s">
        <v>18</v>
      </c>
      <c r="H16" s="281"/>
      <c r="I16" s="211" t="s">
        <v>64</v>
      </c>
      <c r="J16" s="281" t="s">
        <v>2158</v>
      </c>
      <c r="K16" s="584">
        <v>46306</v>
      </c>
      <c r="L16" s="413">
        <v>45941</v>
      </c>
      <c r="M16" s="281" t="s">
        <v>2363</v>
      </c>
      <c r="N16" s="449"/>
      <c r="O16" s="449"/>
      <c r="P16" s="449" t="s">
        <v>29</v>
      </c>
    </row>
    <row r="17" spans="1:16" ht="127.5" customHeight="1" x14ac:dyDescent="0.25">
      <c r="A17" s="183">
        <v>5069</v>
      </c>
      <c r="B17" s="183"/>
      <c r="C17" s="191" t="s">
        <v>749</v>
      </c>
      <c r="D17" s="191" t="s">
        <v>2727</v>
      </c>
      <c r="E17" s="184" t="s">
        <v>88</v>
      </c>
      <c r="F17" s="184" t="s">
        <v>89</v>
      </c>
      <c r="G17" s="898" t="s">
        <v>3214</v>
      </c>
      <c r="H17" s="192" t="s">
        <v>3015</v>
      </c>
      <c r="I17" s="185" t="s">
        <v>33</v>
      </c>
      <c r="J17" s="244" t="s">
        <v>429</v>
      </c>
      <c r="K17" s="581">
        <v>46265</v>
      </c>
      <c r="L17" s="677" t="s">
        <v>3199</v>
      </c>
      <c r="M17" s="656" t="s">
        <v>26</v>
      </c>
      <c r="N17" s="446"/>
      <c r="O17" s="446"/>
      <c r="P17" s="446" t="s">
        <v>29</v>
      </c>
    </row>
    <row r="18" spans="1:16" ht="48" x14ac:dyDescent="0.25">
      <c r="A18" s="183">
        <v>5079</v>
      </c>
      <c r="B18" s="183"/>
      <c r="C18" s="191" t="s">
        <v>751</v>
      </c>
      <c r="D18" s="191" t="s">
        <v>2730</v>
      </c>
      <c r="E18" s="184" t="s">
        <v>94</v>
      </c>
      <c r="F18" s="184" t="s">
        <v>31</v>
      </c>
      <c r="G18" s="192" t="s">
        <v>2548</v>
      </c>
      <c r="H18" s="244" t="s">
        <v>28</v>
      </c>
      <c r="I18" s="185" t="s">
        <v>96</v>
      </c>
      <c r="J18" s="656" t="s">
        <v>678</v>
      </c>
      <c r="K18" s="662">
        <v>46478</v>
      </c>
      <c r="L18" s="660" t="s">
        <v>3025</v>
      </c>
      <c r="M18" s="658" t="s">
        <v>26</v>
      </c>
      <c r="N18" s="446"/>
      <c r="O18" s="446"/>
      <c r="P18" s="446" t="s">
        <v>29</v>
      </c>
    </row>
    <row r="19" spans="1:16" s="32" customFormat="1" ht="60" x14ac:dyDescent="0.2">
      <c r="A19" s="2" t="s">
        <v>3024</v>
      </c>
      <c r="B19" s="3"/>
      <c r="C19" s="10" t="s">
        <v>753</v>
      </c>
      <c r="D19" s="10" t="s">
        <v>2725</v>
      </c>
      <c r="E19" s="4" t="s">
        <v>100</v>
      </c>
      <c r="F19" s="4" t="s">
        <v>101</v>
      </c>
      <c r="G19" s="11" t="s">
        <v>2118</v>
      </c>
      <c r="H19" s="681" t="s">
        <v>1862</v>
      </c>
      <c r="I19" s="17" t="s">
        <v>33</v>
      </c>
      <c r="J19" s="20" t="s">
        <v>678</v>
      </c>
      <c r="K19" s="576">
        <v>46219</v>
      </c>
      <c r="L19" s="565" t="s">
        <v>3168</v>
      </c>
      <c r="M19" s="544" t="s">
        <v>26</v>
      </c>
      <c r="N19" s="445" t="s">
        <v>102</v>
      </c>
      <c r="O19" s="445"/>
      <c r="P19" s="445" t="s">
        <v>35</v>
      </c>
    </row>
    <row r="20" spans="1:16" s="795" customFormat="1" ht="69.75" customHeight="1" x14ac:dyDescent="0.25">
      <c r="A20" s="819">
        <v>5103</v>
      </c>
      <c r="B20" s="834">
        <v>39448</v>
      </c>
      <c r="C20" s="357" t="s">
        <v>754</v>
      </c>
      <c r="D20" s="357" t="s">
        <v>2727</v>
      </c>
      <c r="E20" s="682" t="s">
        <v>103</v>
      </c>
      <c r="F20" s="835" t="s">
        <v>104</v>
      </c>
      <c r="G20" s="538" t="s">
        <v>3157</v>
      </c>
      <c r="H20" s="801" t="s">
        <v>2558</v>
      </c>
      <c r="I20" s="821" t="s">
        <v>71</v>
      </c>
      <c r="J20" s="801" t="s">
        <v>2158</v>
      </c>
      <c r="K20" s="596">
        <v>46478</v>
      </c>
      <c r="L20" s="822" t="s">
        <v>3025</v>
      </c>
      <c r="M20" s="801" t="s">
        <v>47</v>
      </c>
      <c r="N20" s="823" t="s">
        <v>2559</v>
      </c>
      <c r="O20" s="823" t="s">
        <v>2847</v>
      </c>
      <c r="P20" s="836" t="s">
        <v>29</v>
      </c>
    </row>
    <row r="21" spans="1:16" ht="156" x14ac:dyDescent="0.25">
      <c r="A21" s="199">
        <v>5104</v>
      </c>
      <c r="B21" s="199"/>
      <c r="C21" s="200" t="s">
        <v>755</v>
      </c>
      <c r="D21" s="394" t="s">
        <v>2727</v>
      </c>
      <c r="E21" s="201" t="s">
        <v>106</v>
      </c>
      <c r="F21" s="201" t="s">
        <v>107</v>
      </c>
      <c r="G21" s="202" t="s">
        <v>2302</v>
      </c>
      <c r="H21" s="336" t="s">
        <v>1869</v>
      </c>
      <c r="I21" s="340" t="s">
        <v>96</v>
      </c>
      <c r="J21" s="336" t="s">
        <v>2397</v>
      </c>
      <c r="K21" s="590">
        <v>46211</v>
      </c>
      <c r="L21" s="411">
        <v>44385</v>
      </c>
      <c r="M21" s="336" t="s">
        <v>52</v>
      </c>
      <c r="N21" s="450"/>
      <c r="O21" s="450"/>
      <c r="P21" s="450" t="s">
        <v>29</v>
      </c>
    </row>
    <row r="22" spans="1:16" ht="36" x14ac:dyDescent="0.25">
      <c r="A22" s="3">
        <v>5105</v>
      </c>
      <c r="B22" s="3"/>
      <c r="C22" s="11" t="s">
        <v>756</v>
      </c>
      <c r="D22" s="10" t="s">
        <v>2725</v>
      </c>
      <c r="E22" s="4" t="s">
        <v>108</v>
      </c>
      <c r="F22" s="4" t="s">
        <v>109</v>
      </c>
      <c r="G22" s="11" t="s">
        <v>44</v>
      </c>
      <c r="H22" s="20" t="s">
        <v>2526</v>
      </c>
      <c r="I22" s="5" t="s">
        <v>33</v>
      </c>
      <c r="J22" s="5" t="s">
        <v>678</v>
      </c>
      <c r="K22" s="576">
        <v>46371</v>
      </c>
      <c r="L22" s="410" t="s">
        <v>2866</v>
      </c>
      <c r="M22" s="20" t="s">
        <v>52</v>
      </c>
      <c r="N22" s="444"/>
      <c r="O22" s="444"/>
      <c r="P22" s="444" t="s">
        <v>29</v>
      </c>
    </row>
    <row r="23" spans="1:16" ht="36" x14ac:dyDescent="0.25">
      <c r="A23" s="199">
        <v>5106</v>
      </c>
      <c r="B23" s="199"/>
      <c r="C23" s="229" t="s">
        <v>757</v>
      </c>
      <c r="D23" s="394" t="s">
        <v>2727</v>
      </c>
      <c r="E23" s="201"/>
      <c r="F23" s="201"/>
      <c r="G23" s="202" t="s">
        <v>2361</v>
      </c>
      <c r="H23" s="336"/>
      <c r="I23" s="185"/>
      <c r="J23" s="336" t="s">
        <v>2106</v>
      </c>
      <c r="K23" s="629" t="s">
        <v>2981</v>
      </c>
      <c r="L23" s="411"/>
      <c r="M23" s="340"/>
      <c r="N23" s="450"/>
      <c r="O23" s="450"/>
      <c r="P23" s="450"/>
    </row>
    <row r="24" spans="1:16" s="643" customFormat="1" ht="78" customHeight="1" x14ac:dyDescent="0.25">
      <c r="A24" s="240">
        <v>5107</v>
      </c>
      <c r="B24" s="240"/>
      <c r="C24" s="231" t="s">
        <v>758</v>
      </c>
      <c r="D24" s="10" t="s">
        <v>2727</v>
      </c>
      <c r="E24" s="234" t="s">
        <v>111</v>
      </c>
      <c r="F24" s="234" t="s">
        <v>112</v>
      </c>
      <c r="G24" s="234" t="s">
        <v>38</v>
      </c>
      <c r="H24" s="234" t="s">
        <v>3134</v>
      </c>
      <c r="I24" s="11" t="s">
        <v>33</v>
      </c>
      <c r="J24" s="234" t="s">
        <v>678</v>
      </c>
      <c r="K24" s="645">
        <v>46356</v>
      </c>
      <c r="L24" s="646" t="s">
        <v>2805</v>
      </c>
      <c r="M24" s="234" t="s">
        <v>52</v>
      </c>
      <c r="N24" s="647" t="s">
        <v>114</v>
      </c>
      <c r="O24" s="647" t="s">
        <v>114</v>
      </c>
      <c r="P24" s="237" t="s">
        <v>35</v>
      </c>
    </row>
    <row r="25" spans="1:16" ht="48" x14ac:dyDescent="0.25">
      <c r="A25" s="549">
        <v>5108</v>
      </c>
      <c r="B25" s="549"/>
      <c r="C25" s="548" t="s">
        <v>759</v>
      </c>
      <c r="D25" s="547" t="s">
        <v>2727</v>
      </c>
      <c r="E25" s="340"/>
      <c r="F25" s="340" t="s">
        <v>115</v>
      </c>
      <c r="G25" s="336" t="s">
        <v>179</v>
      </c>
      <c r="H25" s="336" t="s">
        <v>117</v>
      </c>
      <c r="I25" s="185" t="s">
        <v>118</v>
      </c>
      <c r="J25" s="336" t="s">
        <v>678</v>
      </c>
      <c r="K25" s="590">
        <v>46356</v>
      </c>
      <c r="L25" s="411"/>
      <c r="M25" s="340"/>
      <c r="N25" s="450"/>
      <c r="O25" s="450"/>
      <c r="P25" s="450" t="s">
        <v>35</v>
      </c>
    </row>
    <row r="26" spans="1:16" ht="41.25" customHeight="1" x14ac:dyDescent="0.25">
      <c r="A26" s="3">
        <v>5110</v>
      </c>
      <c r="B26" s="3"/>
      <c r="C26" s="2" t="s">
        <v>119</v>
      </c>
      <c r="D26" s="2"/>
      <c r="E26" s="4"/>
      <c r="F26" s="4"/>
      <c r="G26" s="4" t="s">
        <v>18</v>
      </c>
      <c r="H26" s="20"/>
      <c r="I26" s="5"/>
      <c r="J26" s="20" t="s">
        <v>1001</v>
      </c>
      <c r="K26" s="576" t="s">
        <v>1001</v>
      </c>
      <c r="L26" s="407"/>
      <c r="M26" s="5"/>
      <c r="N26" s="444"/>
      <c r="O26" s="444"/>
      <c r="P26" s="444"/>
    </row>
    <row r="27" spans="1:16" s="795" customFormat="1" ht="144" customHeight="1" x14ac:dyDescent="0.25">
      <c r="A27" s="824">
        <v>5111</v>
      </c>
      <c r="B27" s="824"/>
      <c r="C27" s="825" t="s">
        <v>760</v>
      </c>
      <c r="D27" s="787" t="s">
        <v>2727</v>
      </c>
      <c r="E27" s="826" t="s">
        <v>120</v>
      </c>
      <c r="F27" s="826" t="s">
        <v>121</v>
      </c>
      <c r="G27" s="827" t="s">
        <v>2802</v>
      </c>
      <c r="H27" s="828" t="s">
        <v>1859</v>
      </c>
      <c r="I27" s="829" t="s">
        <v>33</v>
      </c>
      <c r="J27" s="830" t="s">
        <v>678</v>
      </c>
      <c r="K27" s="831">
        <v>46513</v>
      </c>
      <c r="L27" s="832" t="s">
        <v>3054</v>
      </c>
      <c r="M27" s="467" t="s">
        <v>26</v>
      </c>
      <c r="N27" s="833">
        <v>200</v>
      </c>
      <c r="O27" s="833">
        <v>100</v>
      </c>
      <c r="P27" s="833" t="s">
        <v>35</v>
      </c>
    </row>
    <row r="28" spans="1:16" ht="72" x14ac:dyDescent="0.25">
      <c r="A28" s="230">
        <v>5114</v>
      </c>
      <c r="B28" s="230"/>
      <c r="C28" s="231" t="s">
        <v>761</v>
      </c>
      <c r="D28" s="10" t="s">
        <v>2727</v>
      </c>
      <c r="E28" s="232" t="s">
        <v>122</v>
      </c>
      <c r="F28" s="232" t="s">
        <v>123</v>
      </c>
      <c r="G28" s="234" t="s">
        <v>124</v>
      </c>
      <c r="H28" s="233" t="s">
        <v>1985</v>
      </c>
      <c r="I28" s="5" t="s">
        <v>33</v>
      </c>
      <c r="J28" s="233" t="s">
        <v>678</v>
      </c>
      <c r="K28" s="582">
        <v>46252</v>
      </c>
      <c r="L28" s="880" t="s">
        <v>3204</v>
      </c>
      <c r="M28" s="881" t="s">
        <v>52</v>
      </c>
      <c r="N28" s="451" t="s">
        <v>2960</v>
      </c>
      <c r="O28" s="451" t="s">
        <v>2960</v>
      </c>
      <c r="P28" s="451" t="s">
        <v>35</v>
      </c>
    </row>
    <row r="29" spans="1:16" ht="48" x14ac:dyDescent="0.25">
      <c r="A29" s="183">
        <v>5115</v>
      </c>
      <c r="B29" s="183"/>
      <c r="C29" s="191" t="s">
        <v>762</v>
      </c>
      <c r="D29" s="191" t="s">
        <v>2725</v>
      </c>
      <c r="E29" s="184" t="s">
        <v>125</v>
      </c>
      <c r="F29" s="184" t="s">
        <v>126</v>
      </c>
      <c r="G29" s="202" t="s">
        <v>2118</v>
      </c>
      <c r="H29" s="244" t="s">
        <v>110</v>
      </c>
      <c r="I29" s="185" t="s">
        <v>33</v>
      </c>
      <c r="J29" s="244" t="s">
        <v>678</v>
      </c>
      <c r="K29" s="581">
        <v>46232</v>
      </c>
      <c r="L29" s="660" t="s">
        <v>3171</v>
      </c>
      <c r="M29" s="658" t="s">
        <v>26</v>
      </c>
      <c r="N29" s="446"/>
      <c r="O29" s="446"/>
      <c r="P29" s="446" t="s">
        <v>29</v>
      </c>
    </row>
    <row r="30" spans="1:16" ht="96" x14ac:dyDescent="0.25">
      <c r="A30" s="207">
        <v>5117</v>
      </c>
      <c r="B30" s="207"/>
      <c r="C30" s="226" t="s">
        <v>763</v>
      </c>
      <c r="D30" s="208" t="s">
        <v>2727</v>
      </c>
      <c r="E30" s="209" t="s">
        <v>127</v>
      </c>
      <c r="F30" s="209" t="s">
        <v>128</v>
      </c>
      <c r="G30" s="909" t="s">
        <v>3229</v>
      </c>
      <c r="H30" s="281" t="s">
        <v>2523</v>
      </c>
      <c r="I30" s="211" t="s">
        <v>33</v>
      </c>
      <c r="J30" s="281" t="s">
        <v>678</v>
      </c>
      <c r="K30" s="931">
        <v>46538</v>
      </c>
      <c r="L30" s="415" t="s">
        <v>3073</v>
      </c>
      <c r="M30" s="281" t="s">
        <v>26</v>
      </c>
      <c r="N30" s="452">
        <v>250</v>
      </c>
      <c r="O30" s="452">
        <v>0</v>
      </c>
      <c r="P30" s="452" t="s">
        <v>35</v>
      </c>
    </row>
    <row r="31" spans="1:16" ht="96" x14ac:dyDescent="0.25">
      <c r="A31" s="217">
        <v>5118</v>
      </c>
      <c r="B31" s="217"/>
      <c r="C31" s="228" t="s">
        <v>764</v>
      </c>
      <c r="D31" s="228" t="s">
        <v>2727</v>
      </c>
      <c r="E31" s="219" t="s">
        <v>129</v>
      </c>
      <c r="F31" s="219" t="s">
        <v>130</v>
      </c>
      <c r="G31" s="219" t="s">
        <v>131</v>
      </c>
      <c r="H31" s="282" t="s">
        <v>1858</v>
      </c>
      <c r="I31" s="220" t="s">
        <v>33</v>
      </c>
      <c r="J31" s="282" t="s">
        <v>1711</v>
      </c>
      <c r="K31" s="588">
        <v>46244</v>
      </c>
      <c r="L31" s="879" t="s">
        <v>3210</v>
      </c>
      <c r="M31" s="676" t="s">
        <v>26</v>
      </c>
      <c r="N31" s="453" t="s">
        <v>132</v>
      </c>
      <c r="O31" s="453"/>
      <c r="P31" s="453" t="s">
        <v>35</v>
      </c>
    </row>
    <row r="32" spans="1:16" ht="48" x14ac:dyDescent="0.25">
      <c r="A32" s="207">
        <v>5120</v>
      </c>
      <c r="B32" s="207"/>
      <c r="C32" s="208" t="s">
        <v>765</v>
      </c>
      <c r="D32" s="208" t="s">
        <v>2727</v>
      </c>
      <c r="E32" s="209"/>
      <c r="F32" s="209" t="s">
        <v>133</v>
      </c>
      <c r="G32" s="209" t="s">
        <v>2235</v>
      </c>
      <c r="H32" s="210" t="s">
        <v>1851</v>
      </c>
      <c r="I32" s="211" t="s">
        <v>118</v>
      </c>
      <c r="J32" s="281" t="s">
        <v>1711</v>
      </c>
      <c r="K32" s="584">
        <v>46244</v>
      </c>
      <c r="L32" s="227">
        <v>40383</v>
      </c>
      <c r="M32" s="209"/>
      <c r="N32" s="215"/>
      <c r="O32" s="215"/>
      <c r="P32" s="215" t="s">
        <v>35</v>
      </c>
    </row>
    <row r="33" spans="1:16" ht="60" x14ac:dyDescent="0.25">
      <c r="A33" s="183">
        <v>5125</v>
      </c>
      <c r="B33" s="183"/>
      <c r="C33" s="239" t="s">
        <v>766</v>
      </c>
      <c r="D33" s="191" t="s">
        <v>2727</v>
      </c>
      <c r="E33" s="184" t="s">
        <v>134</v>
      </c>
      <c r="F33" s="184" t="s">
        <v>135</v>
      </c>
      <c r="G33" s="192" t="s">
        <v>2375</v>
      </c>
      <c r="H33" s="244" t="s">
        <v>2696</v>
      </c>
      <c r="I33" s="185" t="s">
        <v>60</v>
      </c>
      <c r="J33" s="244" t="s">
        <v>2158</v>
      </c>
      <c r="K33" s="581">
        <v>46346</v>
      </c>
      <c r="L33" s="347">
        <v>45981</v>
      </c>
      <c r="M33" s="244" t="s">
        <v>47</v>
      </c>
      <c r="N33" s="446" t="s">
        <v>136</v>
      </c>
      <c r="O33" s="443"/>
      <c r="P33" s="443" t="s">
        <v>29</v>
      </c>
    </row>
    <row r="34" spans="1:16" s="9" customFormat="1" ht="103.5" customHeight="1" x14ac:dyDescent="0.25">
      <c r="A34" s="230">
        <v>5127</v>
      </c>
      <c r="B34" s="230"/>
      <c r="C34" s="231" t="s">
        <v>2190</v>
      </c>
      <c r="D34" s="393" t="s">
        <v>2727</v>
      </c>
      <c r="E34" s="232" t="s">
        <v>137</v>
      </c>
      <c r="F34" s="232" t="s">
        <v>138</v>
      </c>
      <c r="G34" s="232" t="s">
        <v>32</v>
      </c>
      <c r="H34" s="233" t="s">
        <v>2828</v>
      </c>
      <c r="I34" s="5" t="s">
        <v>33</v>
      </c>
      <c r="J34" s="233" t="s">
        <v>46</v>
      </c>
      <c r="K34" s="582">
        <v>46426</v>
      </c>
      <c r="L34" s="414" t="s">
        <v>2949</v>
      </c>
      <c r="M34" s="233" t="s">
        <v>26</v>
      </c>
      <c r="N34" s="451" t="s">
        <v>140</v>
      </c>
      <c r="O34" s="451" t="s">
        <v>141</v>
      </c>
      <c r="P34" s="451" t="s">
        <v>35</v>
      </c>
    </row>
    <row r="35" spans="1:16" s="9" customFormat="1" ht="168" x14ac:dyDescent="0.25">
      <c r="A35" s="199">
        <v>5128</v>
      </c>
      <c r="B35" s="199"/>
      <c r="C35" s="200" t="s">
        <v>767</v>
      </c>
      <c r="D35" s="394" t="s">
        <v>2727</v>
      </c>
      <c r="E35" s="201" t="s">
        <v>142</v>
      </c>
      <c r="F35" s="201" t="s">
        <v>143</v>
      </c>
      <c r="G35" s="201" t="s">
        <v>2235</v>
      </c>
      <c r="H35" s="202" t="s">
        <v>2659</v>
      </c>
      <c r="I35" s="185" t="s">
        <v>33</v>
      </c>
      <c r="J35" s="336" t="s">
        <v>678</v>
      </c>
      <c r="K35" s="878">
        <v>46502</v>
      </c>
      <c r="L35" s="876" t="s">
        <v>3046</v>
      </c>
      <c r="M35" s="336" t="s">
        <v>26</v>
      </c>
      <c r="N35" s="206" t="s">
        <v>145</v>
      </c>
      <c r="O35" s="206" t="s">
        <v>146</v>
      </c>
      <c r="P35" s="206" t="s">
        <v>35</v>
      </c>
    </row>
    <row r="36" spans="1:16" s="520" customFormat="1" ht="141" customHeight="1" x14ac:dyDescent="0.2">
      <c r="A36" s="562" t="s">
        <v>147</v>
      </c>
      <c r="B36" s="535"/>
      <c r="C36" s="524" t="s">
        <v>2303</v>
      </c>
      <c r="D36" s="524" t="s">
        <v>2726</v>
      </c>
      <c r="E36" s="563" t="s">
        <v>148</v>
      </c>
      <c r="F36" s="563" t="s">
        <v>143</v>
      </c>
      <c r="G36" s="563" t="s">
        <v>1939</v>
      </c>
      <c r="H36" s="544" t="s">
        <v>1879</v>
      </c>
      <c r="I36" s="564" t="s">
        <v>33</v>
      </c>
      <c r="J36" s="925" t="s">
        <v>678</v>
      </c>
      <c r="K36" s="926">
        <v>46554</v>
      </c>
      <c r="L36" s="565" t="s">
        <v>3127</v>
      </c>
      <c r="M36" s="544" t="s">
        <v>26</v>
      </c>
      <c r="N36" s="566" t="s">
        <v>2091</v>
      </c>
      <c r="O36" s="566"/>
      <c r="P36" s="566" t="s">
        <v>35</v>
      </c>
    </row>
    <row r="37" spans="1:16" s="32" customFormat="1" ht="144" x14ac:dyDescent="0.2">
      <c r="A37" s="229" t="s">
        <v>149</v>
      </c>
      <c r="B37" s="199"/>
      <c r="C37" s="229" t="s">
        <v>2237</v>
      </c>
      <c r="D37" s="202" t="s">
        <v>2727</v>
      </c>
      <c r="E37" s="201" t="s">
        <v>150</v>
      </c>
      <c r="F37" s="201" t="s">
        <v>151</v>
      </c>
      <c r="G37" s="202" t="s">
        <v>152</v>
      </c>
      <c r="H37" s="336" t="s">
        <v>2236</v>
      </c>
      <c r="I37" s="340" t="s">
        <v>24</v>
      </c>
      <c r="J37" s="336" t="s">
        <v>678</v>
      </c>
      <c r="K37" s="590">
        <v>46251</v>
      </c>
      <c r="L37" s="876" t="s">
        <v>3209</v>
      </c>
      <c r="M37" s="877" t="s">
        <v>153</v>
      </c>
      <c r="N37" s="447" t="s">
        <v>154</v>
      </c>
      <c r="O37" s="450"/>
      <c r="P37" s="450" t="s">
        <v>35</v>
      </c>
    </row>
    <row r="38" spans="1:16" ht="120" x14ac:dyDescent="0.25">
      <c r="A38" s="230">
        <v>5134</v>
      </c>
      <c r="B38" s="230"/>
      <c r="C38" s="240" t="s">
        <v>2238</v>
      </c>
      <c r="D38" s="393" t="s">
        <v>2727</v>
      </c>
      <c r="E38" s="232" t="s">
        <v>150</v>
      </c>
      <c r="F38" s="232" t="s">
        <v>155</v>
      </c>
      <c r="G38" s="234" t="s">
        <v>152</v>
      </c>
      <c r="H38" s="233"/>
      <c r="I38" s="341" t="s">
        <v>64</v>
      </c>
      <c r="J38" s="233" t="s">
        <v>678</v>
      </c>
      <c r="K38" s="582">
        <v>46251</v>
      </c>
      <c r="L38" s="414" t="s">
        <v>3209</v>
      </c>
      <c r="M38" s="233" t="s">
        <v>153</v>
      </c>
      <c r="N38" s="454"/>
      <c r="O38" s="454"/>
      <c r="P38" s="454" t="s">
        <v>29</v>
      </c>
    </row>
    <row r="39" spans="1:16" ht="36" x14ac:dyDescent="0.25">
      <c r="A39" s="199">
        <v>5135</v>
      </c>
      <c r="B39" s="199"/>
      <c r="C39" s="229" t="s">
        <v>156</v>
      </c>
      <c r="D39" s="202" t="s">
        <v>2727</v>
      </c>
      <c r="E39" s="201" t="s">
        <v>150</v>
      </c>
      <c r="F39" s="201" t="s">
        <v>157</v>
      </c>
      <c r="G39" s="202" t="s">
        <v>152</v>
      </c>
      <c r="H39" s="336"/>
      <c r="I39" s="185" t="s">
        <v>71</v>
      </c>
      <c r="J39" s="336" t="s">
        <v>678</v>
      </c>
      <c r="K39" s="590">
        <v>46251</v>
      </c>
      <c r="L39" s="876" t="s">
        <v>3209</v>
      </c>
      <c r="M39" s="877" t="s">
        <v>153</v>
      </c>
      <c r="N39" s="450"/>
      <c r="O39" s="450"/>
      <c r="P39" s="450"/>
    </row>
    <row r="40" spans="1:16" ht="60" x14ac:dyDescent="0.25">
      <c r="A40" s="3">
        <v>5141</v>
      </c>
      <c r="B40" s="3"/>
      <c r="C40" s="10" t="s">
        <v>768</v>
      </c>
      <c r="D40" s="10" t="s">
        <v>2727</v>
      </c>
      <c r="E40" s="4" t="s">
        <v>158</v>
      </c>
      <c r="F40" s="11" t="s">
        <v>159</v>
      </c>
      <c r="G40" s="210" t="s">
        <v>2567</v>
      </c>
      <c r="H40" s="20" t="s">
        <v>1854</v>
      </c>
      <c r="I40" s="5" t="s">
        <v>24</v>
      </c>
      <c r="J40" s="20" t="s">
        <v>2978</v>
      </c>
      <c r="K40" s="576">
        <v>46387</v>
      </c>
      <c r="L40" s="407" t="s">
        <v>2857</v>
      </c>
      <c r="M40" s="20" t="s">
        <v>52</v>
      </c>
      <c r="N40" s="444">
        <v>50</v>
      </c>
      <c r="O40" s="444">
        <v>50</v>
      </c>
      <c r="P40" s="444" t="s">
        <v>29</v>
      </c>
    </row>
    <row r="41" spans="1:16" s="1" customFormat="1" ht="60" x14ac:dyDescent="0.25">
      <c r="A41" s="183">
        <v>5142</v>
      </c>
      <c r="B41" s="183"/>
      <c r="C41" s="191" t="s">
        <v>769</v>
      </c>
      <c r="D41" s="191" t="s">
        <v>2727</v>
      </c>
      <c r="E41" s="184" t="s">
        <v>158</v>
      </c>
      <c r="F41" s="184" t="s">
        <v>160</v>
      </c>
      <c r="G41" s="205" t="s">
        <v>2567</v>
      </c>
      <c r="H41" s="244" t="s">
        <v>2643</v>
      </c>
      <c r="I41" s="185" t="s">
        <v>64</v>
      </c>
      <c r="J41" s="244" t="s">
        <v>2978</v>
      </c>
      <c r="K41" s="581">
        <v>46387</v>
      </c>
      <c r="L41" s="347" t="s">
        <v>2857</v>
      </c>
      <c r="M41" s="244" t="s">
        <v>52</v>
      </c>
      <c r="N41" s="443">
        <v>50</v>
      </c>
      <c r="O41" s="443">
        <v>50</v>
      </c>
      <c r="P41" s="443" t="s">
        <v>29</v>
      </c>
    </row>
    <row r="42" spans="1:16" s="534" customFormat="1" ht="108" x14ac:dyDescent="0.25">
      <c r="A42" s="535">
        <v>5143</v>
      </c>
      <c r="B42" s="535"/>
      <c r="C42" s="562" t="s">
        <v>770</v>
      </c>
      <c r="D42" s="524" t="s">
        <v>2727</v>
      </c>
      <c r="E42" s="563" t="s">
        <v>161</v>
      </c>
      <c r="F42" s="538" t="s">
        <v>162</v>
      </c>
      <c r="G42" s="538" t="s">
        <v>38</v>
      </c>
      <c r="H42" s="544" t="s">
        <v>2341</v>
      </c>
      <c r="I42" s="564" t="s">
        <v>24</v>
      </c>
      <c r="J42" s="544" t="s">
        <v>678</v>
      </c>
      <c r="K42" s="910">
        <v>46568</v>
      </c>
      <c r="L42" s="565" t="s">
        <v>3122</v>
      </c>
      <c r="M42" s="544" t="s">
        <v>26</v>
      </c>
      <c r="N42" s="566" t="s">
        <v>163</v>
      </c>
      <c r="O42" s="566"/>
      <c r="P42" s="566" t="s">
        <v>35</v>
      </c>
    </row>
    <row r="43" spans="1:16" ht="48" x14ac:dyDescent="0.25">
      <c r="A43" s="183">
        <v>5144</v>
      </c>
      <c r="B43" s="183"/>
      <c r="C43" s="191" t="s">
        <v>771</v>
      </c>
      <c r="D43" s="191" t="s">
        <v>2727</v>
      </c>
      <c r="E43" s="184" t="s">
        <v>164</v>
      </c>
      <c r="F43" s="184" t="s">
        <v>165</v>
      </c>
      <c r="G43" s="192" t="s">
        <v>2568</v>
      </c>
      <c r="H43" s="244" t="s">
        <v>2298</v>
      </c>
      <c r="I43" s="185" t="s">
        <v>33</v>
      </c>
      <c r="J43" s="244" t="s">
        <v>2158</v>
      </c>
      <c r="K43" s="581">
        <v>46241</v>
      </c>
      <c r="L43" s="869" t="s">
        <v>3207</v>
      </c>
      <c r="M43" s="656" t="s">
        <v>26</v>
      </c>
      <c r="N43" s="446" t="s">
        <v>166</v>
      </c>
      <c r="O43" s="446"/>
      <c r="P43" s="446" t="s">
        <v>29</v>
      </c>
    </row>
    <row r="44" spans="1:16" s="32" customFormat="1" ht="108" x14ac:dyDescent="0.2">
      <c r="A44" s="242" t="s">
        <v>167</v>
      </c>
      <c r="B44" s="207"/>
      <c r="C44" s="208" t="s">
        <v>772</v>
      </c>
      <c r="D44" s="10" t="s">
        <v>2727</v>
      </c>
      <c r="E44" s="209" t="s">
        <v>168</v>
      </c>
      <c r="F44" s="209" t="s">
        <v>169</v>
      </c>
      <c r="G44" s="209" t="s">
        <v>144</v>
      </c>
      <c r="H44" s="281" t="s">
        <v>2239</v>
      </c>
      <c r="I44" s="211" t="s">
        <v>33</v>
      </c>
      <c r="J44" s="281" t="s">
        <v>2158</v>
      </c>
      <c r="K44" s="584">
        <v>46251</v>
      </c>
      <c r="L44" s="415" t="s">
        <v>3209</v>
      </c>
      <c r="M44" s="281" t="s">
        <v>26</v>
      </c>
      <c r="N44" s="452" t="s">
        <v>170</v>
      </c>
      <c r="O44" s="452" t="s">
        <v>170</v>
      </c>
      <c r="P44" s="452" t="s">
        <v>35</v>
      </c>
    </row>
    <row r="45" spans="1:16" ht="53.25" customHeight="1" x14ac:dyDescent="0.25">
      <c r="A45" s="217">
        <v>5146</v>
      </c>
      <c r="B45" s="217"/>
      <c r="C45" s="243" t="s">
        <v>171</v>
      </c>
      <c r="D45" s="228" t="s">
        <v>2727</v>
      </c>
      <c r="E45" s="219"/>
      <c r="F45" s="219" t="s">
        <v>172</v>
      </c>
      <c r="G45" s="219" t="s">
        <v>144</v>
      </c>
      <c r="H45" s="282"/>
      <c r="I45" s="220" t="s">
        <v>118</v>
      </c>
      <c r="J45" s="282" t="s">
        <v>2158</v>
      </c>
      <c r="K45" s="588">
        <v>46251</v>
      </c>
      <c r="L45" s="416"/>
      <c r="M45" s="220"/>
      <c r="N45" s="448"/>
      <c r="O45" s="448"/>
      <c r="P45" s="448" t="s">
        <v>35</v>
      </c>
    </row>
    <row r="46" spans="1:16" s="32" customFormat="1" ht="60" x14ac:dyDescent="0.2">
      <c r="A46" s="2" t="s">
        <v>173</v>
      </c>
      <c r="B46" s="3"/>
      <c r="C46" s="2" t="s">
        <v>773</v>
      </c>
      <c r="D46" s="10" t="s">
        <v>2746</v>
      </c>
      <c r="E46" s="4" t="s">
        <v>174</v>
      </c>
      <c r="F46" s="4" t="s">
        <v>175</v>
      </c>
      <c r="G46" s="538" t="s">
        <v>3175</v>
      </c>
      <c r="H46" s="11" t="s">
        <v>1968</v>
      </c>
      <c r="I46" s="5" t="s">
        <v>33</v>
      </c>
      <c r="J46" s="20" t="s">
        <v>2158</v>
      </c>
      <c r="K46" s="576">
        <v>46249</v>
      </c>
      <c r="L46" s="407" t="s">
        <v>3203</v>
      </c>
      <c r="M46" s="20" t="s">
        <v>26</v>
      </c>
      <c r="N46" s="13" t="s">
        <v>177</v>
      </c>
      <c r="O46" s="13"/>
      <c r="P46" s="13" t="s">
        <v>35</v>
      </c>
    </row>
    <row r="47" spans="1:16" ht="168" x14ac:dyDescent="0.25">
      <c r="A47" s="183">
        <v>5149</v>
      </c>
      <c r="B47" s="183"/>
      <c r="C47" s="191" t="s">
        <v>774</v>
      </c>
      <c r="D47" s="191" t="s">
        <v>2725</v>
      </c>
      <c r="E47" s="184" t="s">
        <v>178</v>
      </c>
      <c r="F47" s="184" t="s">
        <v>87</v>
      </c>
      <c r="G47" s="192" t="s">
        <v>18</v>
      </c>
      <c r="H47" s="244" t="s">
        <v>180</v>
      </c>
      <c r="I47" s="185" t="s">
        <v>64</v>
      </c>
      <c r="J47" s="244" t="s">
        <v>678</v>
      </c>
      <c r="K47" s="581">
        <v>46198</v>
      </c>
      <c r="L47" s="677" t="s">
        <v>3105</v>
      </c>
      <c r="M47" s="656" t="s">
        <v>26</v>
      </c>
      <c r="N47" s="446" t="s">
        <v>181</v>
      </c>
      <c r="O47" s="446">
        <v>0</v>
      </c>
      <c r="P47" s="446" t="s">
        <v>29</v>
      </c>
    </row>
    <row r="48" spans="1:16" ht="168" x14ac:dyDescent="0.25">
      <c r="A48" s="3">
        <v>5150</v>
      </c>
      <c r="B48" s="3"/>
      <c r="C48" s="272" t="s">
        <v>1759</v>
      </c>
      <c r="D48" s="10" t="s">
        <v>2725</v>
      </c>
      <c r="E48" s="4" t="s">
        <v>178</v>
      </c>
      <c r="F48" s="11" t="s">
        <v>182</v>
      </c>
      <c r="G48" s="11" t="s">
        <v>90</v>
      </c>
      <c r="H48" s="925" t="s">
        <v>3222</v>
      </c>
      <c r="I48" s="5" t="s">
        <v>71</v>
      </c>
      <c r="J48" s="20" t="s">
        <v>678</v>
      </c>
      <c r="K48" s="576">
        <v>46198</v>
      </c>
      <c r="L48" s="565" t="s">
        <v>3105</v>
      </c>
      <c r="M48" s="544" t="s">
        <v>26</v>
      </c>
      <c r="N48" s="445" t="s">
        <v>183</v>
      </c>
      <c r="O48" s="445">
        <v>0</v>
      </c>
      <c r="P48" s="444" t="s">
        <v>35</v>
      </c>
    </row>
    <row r="49" spans="1:16" ht="60" x14ac:dyDescent="0.25">
      <c r="A49" s="183">
        <v>5156</v>
      </c>
      <c r="B49" s="183"/>
      <c r="C49" s="191" t="s">
        <v>775</v>
      </c>
      <c r="D49" s="191" t="s">
        <v>2727</v>
      </c>
      <c r="E49" s="184" t="s">
        <v>184</v>
      </c>
      <c r="F49" s="184" t="s">
        <v>92</v>
      </c>
      <c r="G49" s="192" t="s">
        <v>3035</v>
      </c>
      <c r="H49" s="244" t="s">
        <v>2240</v>
      </c>
      <c r="I49" s="185" t="s">
        <v>71</v>
      </c>
      <c r="J49" s="244" t="s">
        <v>678</v>
      </c>
      <c r="K49" s="581">
        <v>46296</v>
      </c>
      <c r="L49" s="347">
        <v>45931</v>
      </c>
      <c r="M49" s="244" t="s">
        <v>26</v>
      </c>
      <c r="N49" s="446" t="s">
        <v>186</v>
      </c>
      <c r="O49" s="446">
        <v>200</v>
      </c>
      <c r="P49" s="446" t="s">
        <v>29</v>
      </c>
    </row>
    <row r="50" spans="1:16" ht="108" x14ac:dyDescent="0.25">
      <c r="A50" s="482">
        <v>5161</v>
      </c>
      <c r="B50" s="482"/>
      <c r="C50" s="483" t="s">
        <v>2792</v>
      </c>
      <c r="D50" s="483" t="s">
        <v>2727</v>
      </c>
      <c r="E50" s="484" t="s">
        <v>187</v>
      </c>
      <c r="F50" s="484" t="s">
        <v>188</v>
      </c>
      <c r="G50" s="485" t="s">
        <v>2323</v>
      </c>
      <c r="H50" s="485" t="s">
        <v>2793</v>
      </c>
      <c r="I50" s="484" t="s">
        <v>33</v>
      </c>
      <c r="J50" s="484" t="s">
        <v>678</v>
      </c>
      <c r="K50" s="599">
        <v>46356</v>
      </c>
      <c r="L50" s="486">
        <v>45991</v>
      </c>
      <c r="M50" s="485" t="s">
        <v>47</v>
      </c>
      <c r="N50" s="487" t="s">
        <v>190</v>
      </c>
      <c r="O50" s="487">
        <v>0</v>
      </c>
      <c r="P50" s="487" t="s">
        <v>35</v>
      </c>
    </row>
    <row r="51" spans="1:16" s="9" customFormat="1" ht="144" x14ac:dyDescent="0.25">
      <c r="A51" s="183">
        <v>5162</v>
      </c>
      <c r="B51" s="183"/>
      <c r="C51" s="191" t="s">
        <v>776</v>
      </c>
      <c r="D51" s="191" t="s">
        <v>2727</v>
      </c>
      <c r="E51" s="184" t="s">
        <v>191</v>
      </c>
      <c r="F51" s="184" t="s">
        <v>192</v>
      </c>
      <c r="G51" s="192" t="s">
        <v>1846</v>
      </c>
      <c r="H51" s="244" t="s">
        <v>2304</v>
      </c>
      <c r="I51" s="185" t="s">
        <v>33</v>
      </c>
      <c r="J51" s="185" t="s">
        <v>2158</v>
      </c>
      <c r="K51" s="581">
        <v>46270</v>
      </c>
      <c r="L51" s="965">
        <v>46270</v>
      </c>
      <c r="M51" s="911" t="s">
        <v>52</v>
      </c>
      <c r="N51" s="446" t="s">
        <v>193</v>
      </c>
      <c r="O51" s="446" t="s">
        <v>193</v>
      </c>
      <c r="P51" s="446" t="s">
        <v>35</v>
      </c>
    </row>
    <row r="52" spans="1:16" s="9" customFormat="1" ht="60" x14ac:dyDescent="0.25">
      <c r="A52" s="3">
        <v>5163</v>
      </c>
      <c r="B52" s="3"/>
      <c r="C52" s="10" t="s">
        <v>777</v>
      </c>
      <c r="D52" s="10" t="s">
        <v>2727</v>
      </c>
      <c r="E52" s="4" t="s">
        <v>161</v>
      </c>
      <c r="F52" s="4" t="s">
        <v>194</v>
      </c>
      <c r="G52" s="11" t="s">
        <v>38</v>
      </c>
      <c r="H52" s="20" t="s">
        <v>195</v>
      </c>
      <c r="I52" s="5" t="s">
        <v>64</v>
      </c>
      <c r="J52" s="20" t="s">
        <v>678</v>
      </c>
      <c r="K52" s="910">
        <v>46568</v>
      </c>
      <c r="L52" s="407"/>
      <c r="M52" s="5"/>
      <c r="N52" s="444"/>
      <c r="O52" s="444"/>
      <c r="P52" s="444"/>
    </row>
    <row r="53" spans="1:16" s="32" customFormat="1" ht="84" x14ac:dyDescent="0.2">
      <c r="A53" s="183" t="s">
        <v>196</v>
      </c>
      <c r="B53" s="183"/>
      <c r="C53" s="191" t="s">
        <v>778</v>
      </c>
      <c r="D53" s="191" t="s">
        <v>2727</v>
      </c>
      <c r="E53" s="184" t="s">
        <v>197</v>
      </c>
      <c r="F53" s="184" t="s">
        <v>198</v>
      </c>
      <c r="G53" s="192" t="s">
        <v>2206</v>
      </c>
      <c r="H53" s="244" t="s">
        <v>2517</v>
      </c>
      <c r="I53" s="185" t="s">
        <v>71</v>
      </c>
      <c r="J53" s="244" t="s">
        <v>2158</v>
      </c>
      <c r="K53" s="581">
        <v>46320</v>
      </c>
      <c r="L53" s="347">
        <v>45955</v>
      </c>
      <c r="M53" s="244" t="s">
        <v>2713</v>
      </c>
      <c r="N53" s="446" t="s">
        <v>199</v>
      </c>
      <c r="O53" s="443"/>
      <c r="P53" s="443" t="s">
        <v>29</v>
      </c>
    </row>
    <row r="54" spans="1:16" s="1" customFormat="1" ht="120" x14ac:dyDescent="0.25">
      <c r="A54" s="230">
        <v>5167</v>
      </c>
      <c r="B54" s="3"/>
      <c r="C54" s="231" t="s">
        <v>2241</v>
      </c>
      <c r="D54" s="393" t="s">
        <v>2727</v>
      </c>
      <c r="E54" s="232" t="s">
        <v>200</v>
      </c>
      <c r="F54" s="209" t="s">
        <v>201</v>
      </c>
      <c r="G54" s="232" t="s">
        <v>202</v>
      </c>
      <c r="H54" s="233" t="s">
        <v>2242</v>
      </c>
      <c r="I54" s="5" t="s">
        <v>33</v>
      </c>
      <c r="J54" s="233" t="s">
        <v>2158</v>
      </c>
      <c r="K54" s="582">
        <v>46278</v>
      </c>
      <c r="L54" s="963">
        <v>46278</v>
      </c>
      <c r="M54" s="964" t="s">
        <v>52</v>
      </c>
      <c r="N54" s="451" t="s">
        <v>203</v>
      </c>
      <c r="O54" s="451" t="s">
        <v>203</v>
      </c>
      <c r="P54" s="451" t="s">
        <v>35</v>
      </c>
    </row>
    <row r="55" spans="1:16" ht="146.25" customHeight="1" x14ac:dyDescent="0.25">
      <c r="A55" s="199">
        <v>5168</v>
      </c>
      <c r="B55" s="199"/>
      <c r="C55" s="200" t="s">
        <v>779</v>
      </c>
      <c r="D55" s="394" t="s">
        <v>2727</v>
      </c>
      <c r="E55" s="201"/>
      <c r="F55" s="201" t="s">
        <v>204</v>
      </c>
      <c r="G55" s="201" t="s">
        <v>202</v>
      </c>
      <c r="H55" s="336" t="s">
        <v>1872</v>
      </c>
      <c r="I55" s="185" t="s">
        <v>118</v>
      </c>
      <c r="J55" s="570" t="s">
        <v>2158</v>
      </c>
      <c r="K55" s="595">
        <v>46278</v>
      </c>
      <c r="L55" s="411"/>
      <c r="M55" s="340"/>
      <c r="N55" s="450"/>
      <c r="O55" s="447" t="s">
        <v>203</v>
      </c>
      <c r="P55" s="447" t="s">
        <v>35</v>
      </c>
    </row>
    <row r="56" spans="1:16" ht="160.5" customHeight="1" x14ac:dyDescent="0.25">
      <c r="A56" s="230">
        <v>5170</v>
      </c>
      <c r="B56" s="230"/>
      <c r="C56" s="231" t="s">
        <v>780</v>
      </c>
      <c r="D56" s="393" t="s">
        <v>2727</v>
      </c>
      <c r="E56" s="232" t="s">
        <v>205</v>
      </c>
      <c r="F56" s="232" t="s">
        <v>206</v>
      </c>
      <c r="G56" s="232" t="s">
        <v>38</v>
      </c>
      <c r="H56" s="233" t="s">
        <v>3135</v>
      </c>
      <c r="I56" s="5" t="s">
        <v>33</v>
      </c>
      <c r="J56" s="233" t="s">
        <v>678</v>
      </c>
      <c r="K56" s="582">
        <v>46341</v>
      </c>
      <c r="L56" s="414">
        <v>45976</v>
      </c>
      <c r="M56" s="233" t="s">
        <v>47</v>
      </c>
      <c r="N56" s="451" t="s">
        <v>207</v>
      </c>
      <c r="O56" s="451" t="s">
        <v>208</v>
      </c>
      <c r="P56" s="451" t="s">
        <v>35</v>
      </c>
    </row>
    <row r="57" spans="1:16" ht="96" x14ac:dyDescent="0.25">
      <c r="A57" s="207">
        <v>5176</v>
      </c>
      <c r="B57" s="207"/>
      <c r="C57" s="208" t="s">
        <v>782</v>
      </c>
      <c r="D57" s="208" t="s">
        <v>2731</v>
      </c>
      <c r="E57" s="209" t="s">
        <v>211</v>
      </c>
      <c r="F57" s="209" t="s">
        <v>212</v>
      </c>
      <c r="G57" s="210" t="s">
        <v>1904</v>
      </c>
      <c r="H57" s="281" t="s">
        <v>2519</v>
      </c>
      <c r="I57" s="211" t="s">
        <v>33</v>
      </c>
      <c r="J57" s="281" t="s">
        <v>429</v>
      </c>
      <c r="K57" s="584">
        <v>46447</v>
      </c>
      <c r="L57" s="413" t="s">
        <v>2997</v>
      </c>
      <c r="M57" s="281" t="s">
        <v>26</v>
      </c>
      <c r="N57" s="449">
        <v>100</v>
      </c>
      <c r="O57" s="449">
        <v>100</v>
      </c>
      <c r="P57" s="449" t="s">
        <v>35</v>
      </c>
    </row>
    <row r="58" spans="1:16" s="488" customFormat="1" ht="103.5" customHeight="1" x14ac:dyDescent="0.25">
      <c r="A58" s="207">
        <v>5183</v>
      </c>
      <c r="B58" s="207"/>
      <c r="C58" s="208" t="s">
        <v>783</v>
      </c>
      <c r="D58" s="208" t="s">
        <v>2727</v>
      </c>
      <c r="E58" s="209" t="s">
        <v>215</v>
      </c>
      <c r="F58" s="209" t="s">
        <v>188</v>
      </c>
      <c r="G58" s="209" t="s">
        <v>116</v>
      </c>
      <c r="H58" s="281" t="s">
        <v>2821</v>
      </c>
      <c r="I58" s="211" t="s">
        <v>33</v>
      </c>
      <c r="J58" s="281" t="s">
        <v>678</v>
      </c>
      <c r="K58" s="584">
        <v>46319</v>
      </c>
      <c r="L58" s="415">
        <v>45954</v>
      </c>
      <c r="M58" s="281" t="s">
        <v>26</v>
      </c>
      <c r="N58" s="452" t="s">
        <v>216</v>
      </c>
      <c r="O58" s="452"/>
      <c r="P58" s="452" t="s">
        <v>35</v>
      </c>
    </row>
    <row r="59" spans="1:16" ht="145.5" customHeight="1" x14ac:dyDescent="0.25">
      <c r="A59" s="217">
        <v>5184</v>
      </c>
      <c r="B59" s="217"/>
      <c r="C59" s="228" t="s">
        <v>784</v>
      </c>
      <c r="D59" s="228" t="s">
        <v>2727</v>
      </c>
      <c r="E59" s="219"/>
      <c r="F59" s="219" t="s">
        <v>28</v>
      </c>
      <c r="G59" s="219" t="s">
        <v>116</v>
      </c>
      <c r="H59" s="875" t="s">
        <v>2971</v>
      </c>
      <c r="I59" s="220" t="s">
        <v>118</v>
      </c>
      <c r="J59" s="282" t="s">
        <v>678</v>
      </c>
      <c r="K59" s="588">
        <v>46319</v>
      </c>
      <c r="L59" s="416"/>
      <c r="M59" s="220"/>
      <c r="N59" s="448"/>
      <c r="O59" s="448"/>
      <c r="P59" s="448" t="s">
        <v>35</v>
      </c>
    </row>
    <row r="60" spans="1:16" s="32" customFormat="1" ht="72" x14ac:dyDescent="0.2">
      <c r="A60" s="2" t="s">
        <v>217</v>
      </c>
      <c r="B60" s="21">
        <v>41548</v>
      </c>
      <c r="C60" s="10" t="s">
        <v>785</v>
      </c>
      <c r="D60" s="10" t="s">
        <v>2727</v>
      </c>
      <c r="E60" s="4" t="s">
        <v>218</v>
      </c>
      <c r="F60" s="4" t="s">
        <v>219</v>
      </c>
      <c r="G60" s="538" t="s">
        <v>3036</v>
      </c>
      <c r="H60" s="20" t="s">
        <v>220</v>
      </c>
      <c r="I60" s="17" t="s">
        <v>71</v>
      </c>
      <c r="J60" s="20" t="s">
        <v>678</v>
      </c>
      <c r="K60" s="576">
        <v>46386</v>
      </c>
      <c r="L60" s="407" t="s">
        <v>2885</v>
      </c>
      <c r="M60" s="20" t="s">
        <v>52</v>
      </c>
      <c r="N60" s="445" t="s">
        <v>221</v>
      </c>
      <c r="O60" s="444">
        <v>0</v>
      </c>
      <c r="P60" s="444" t="s">
        <v>35</v>
      </c>
    </row>
    <row r="61" spans="1:16" s="32" customFormat="1" ht="120" x14ac:dyDescent="0.2">
      <c r="A61" s="243" t="s">
        <v>225</v>
      </c>
      <c r="B61" s="217"/>
      <c r="C61" s="243" t="s">
        <v>788</v>
      </c>
      <c r="D61" s="228" t="s">
        <v>2727</v>
      </c>
      <c r="E61" s="219" t="s">
        <v>226</v>
      </c>
      <c r="F61" s="205" t="s">
        <v>227</v>
      </c>
      <c r="G61" s="219" t="s">
        <v>202</v>
      </c>
      <c r="H61" s="282" t="s">
        <v>2946</v>
      </c>
      <c r="I61" s="220" t="s">
        <v>228</v>
      </c>
      <c r="J61" s="282" t="s">
        <v>2158</v>
      </c>
      <c r="K61" s="904">
        <v>46515</v>
      </c>
      <c r="L61" s="420" t="s">
        <v>3075</v>
      </c>
      <c r="M61" s="468" t="s">
        <v>26</v>
      </c>
      <c r="N61" s="453" t="s">
        <v>229</v>
      </c>
      <c r="O61" s="453"/>
      <c r="P61" s="453" t="s">
        <v>35</v>
      </c>
    </row>
    <row r="62" spans="1:16" s="33" customFormat="1" ht="84" x14ac:dyDescent="0.2">
      <c r="A62" s="2" t="s">
        <v>230</v>
      </c>
      <c r="B62" s="3"/>
      <c r="C62" s="10" t="s">
        <v>789</v>
      </c>
      <c r="D62" s="10" t="s">
        <v>2746</v>
      </c>
      <c r="E62" s="4" t="s">
        <v>231</v>
      </c>
      <c r="F62" s="11" t="s">
        <v>232</v>
      </c>
      <c r="G62" s="4" t="s">
        <v>139</v>
      </c>
      <c r="H62" s="20" t="s">
        <v>2490</v>
      </c>
      <c r="I62" s="5" t="s">
        <v>24</v>
      </c>
      <c r="J62" s="20" t="s">
        <v>678</v>
      </c>
      <c r="K62" s="576">
        <v>46296</v>
      </c>
      <c r="L62" s="407">
        <v>45931</v>
      </c>
      <c r="M62" s="20" t="s">
        <v>2714</v>
      </c>
      <c r="N62" s="444">
        <v>300</v>
      </c>
      <c r="O62" s="444">
        <v>100</v>
      </c>
      <c r="P62" s="444" t="s">
        <v>35</v>
      </c>
    </row>
    <row r="63" spans="1:16" s="32" customFormat="1" ht="108" x14ac:dyDescent="0.2">
      <c r="A63" s="181" t="s">
        <v>2243</v>
      </c>
      <c r="B63" s="183" t="s">
        <v>233</v>
      </c>
      <c r="C63" s="181" t="s">
        <v>790</v>
      </c>
      <c r="D63" s="191" t="s">
        <v>2725</v>
      </c>
      <c r="E63" s="184" t="s">
        <v>234</v>
      </c>
      <c r="F63" s="192" t="s">
        <v>101</v>
      </c>
      <c r="G63" s="192" t="s">
        <v>90</v>
      </c>
      <c r="H63" s="470" t="s">
        <v>2351</v>
      </c>
      <c r="I63" s="198" t="s">
        <v>71</v>
      </c>
      <c r="J63" s="244" t="s">
        <v>46</v>
      </c>
      <c r="K63" s="581">
        <v>46218</v>
      </c>
      <c r="L63" s="905" t="s">
        <v>3137</v>
      </c>
      <c r="M63" s="793" t="s">
        <v>52</v>
      </c>
      <c r="N63" s="446" t="s">
        <v>236</v>
      </c>
      <c r="O63" s="446">
        <v>0</v>
      </c>
      <c r="P63" s="443" t="s">
        <v>35</v>
      </c>
    </row>
    <row r="64" spans="1:16" ht="84" x14ac:dyDescent="0.25">
      <c r="A64" s="3">
        <v>5201</v>
      </c>
      <c r="B64" s="3" t="s">
        <v>237</v>
      </c>
      <c r="C64" s="2" t="s">
        <v>791</v>
      </c>
      <c r="D64" s="10" t="s">
        <v>2727</v>
      </c>
      <c r="E64" s="4" t="s">
        <v>238</v>
      </c>
      <c r="F64" s="4" t="s">
        <v>239</v>
      </c>
      <c r="G64" s="11" t="s">
        <v>84</v>
      </c>
      <c r="H64" s="20" t="s">
        <v>2244</v>
      </c>
      <c r="I64" s="5" t="s">
        <v>33</v>
      </c>
      <c r="J64" s="20" t="s">
        <v>46</v>
      </c>
      <c r="K64" s="576">
        <v>46306</v>
      </c>
      <c r="L64" s="407">
        <v>45941</v>
      </c>
      <c r="M64" s="20" t="s">
        <v>52</v>
      </c>
      <c r="N64" s="445" t="s">
        <v>240</v>
      </c>
      <c r="O64" s="445" t="s">
        <v>241</v>
      </c>
      <c r="P64" s="445" t="s">
        <v>29</v>
      </c>
    </row>
    <row r="65" spans="1:16" s="567" customFormat="1" ht="72" x14ac:dyDescent="0.25">
      <c r="A65" s="535">
        <v>5203</v>
      </c>
      <c r="B65" s="535" t="s">
        <v>245</v>
      </c>
      <c r="C65" s="562" t="s">
        <v>1929</v>
      </c>
      <c r="D65" s="524" t="s">
        <v>2746</v>
      </c>
      <c r="E65" s="563" t="s">
        <v>246</v>
      </c>
      <c r="F65" s="563" t="s">
        <v>247</v>
      </c>
      <c r="G65" s="563" t="s">
        <v>2041</v>
      </c>
      <c r="H65" s="544" t="s">
        <v>1870</v>
      </c>
      <c r="I65" s="564" t="s">
        <v>33</v>
      </c>
      <c r="J65" s="544" t="s">
        <v>2158</v>
      </c>
      <c r="K65" s="926">
        <v>46539</v>
      </c>
      <c r="L65" s="565" t="s">
        <v>3117</v>
      </c>
      <c r="M65" s="544" t="s">
        <v>52</v>
      </c>
      <c r="N65" s="566">
        <v>200</v>
      </c>
      <c r="O65" s="566">
        <v>0</v>
      </c>
      <c r="P65" s="566" t="s">
        <v>35</v>
      </c>
    </row>
    <row r="66" spans="1:16" ht="72" x14ac:dyDescent="0.25">
      <c r="A66" s="183">
        <v>5204</v>
      </c>
      <c r="B66" s="183" t="s">
        <v>248</v>
      </c>
      <c r="C66" s="181" t="s">
        <v>793</v>
      </c>
      <c r="D66" s="191" t="s">
        <v>2725</v>
      </c>
      <c r="E66" s="184" t="s">
        <v>249</v>
      </c>
      <c r="F66" s="184" t="s">
        <v>250</v>
      </c>
      <c r="G66" s="184" t="s">
        <v>32</v>
      </c>
      <c r="H66" s="470" t="s">
        <v>2522</v>
      </c>
      <c r="I66" s="198" t="s">
        <v>60</v>
      </c>
      <c r="J66" s="244" t="s">
        <v>678</v>
      </c>
      <c r="K66" s="581">
        <v>46363</v>
      </c>
      <c r="L66" s="347" t="s">
        <v>2884</v>
      </c>
      <c r="M66" s="244" t="s">
        <v>52</v>
      </c>
      <c r="N66" s="446">
        <v>200</v>
      </c>
      <c r="O66" s="446"/>
      <c r="P66" s="446" t="s">
        <v>35</v>
      </c>
    </row>
    <row r="67" spans="1:16" s="534" customFormat="1" ht="166.5" customHeight="1" x14ac:dyDescent="0.25">
      <c r="A67" s="535">
        <v>5209</v>
      </c>
      <c r="B67" s="535" t="s">
        <v>257</v>
      </c>
      <c r="C67" s="562" t="s">
        <v>797</v>
      </c>
      <c r="D67" s="524" t="s">
        <v>2725</v>
      </c>
      <c r="E67" s="563" t="s">
        <v>258</v>
      </c>
      <c r="F67" s="563" t="s">
        <v>259</v>
      </c>
      <c r="G67" s="563" t="s">
        <v>2118</v>
      </c>
      <c r="H67" s="902" t="s">
        <v>3231</v>
      </c>
      <c r="I67" s="564" t="s">
        <v>33</v>
      </c>
      <c r="J67" s="544" t="s">
        <v>678</v>
      </c>
      <c r="K67" s="601">
        <v>46477</v>
      </c>
      <c r="L67" s="565" t="s">
        <v>3009</v>
      </c>
      <c r="M67" s="544" t="s">
        <v>52</v>
      </c>
      <c r="N67" s="566" t="s">
        <v>1954</v>
      </c>
      <c r="O67" s="566" t="s">
        <v>1731</v>
      </c>
      <c r="P67" s="566" t="s">
        <v>35</v>
      </c>
    </row>
    <row r="68" spans="1:16" s="795" customFormat="1" ht="174" customHeight="1" x14ac:dyDescent="0.25">
      <c r="A68" s="819">
        <v>5212</v>
      </c>
      <c r="B68" s="819" t="s">
        <v>260</v>
      </c>
      <c r="C68" s="820" t="s">
        <v>2747</v>
      </c>
      <c r="D68" s="357" t="s">
        <v>2727</v>
      </c>
      <c r="E68" s="682" t="s">
        <v>261</v>
      </c>
      <c r="F68" s="682" t="s">
        <v>262</v>
      </c>
      <c r="G68" s="682" t="s">
        <v>1909</v>
      </c>
      <c r="H68" s="801" t="s">
        <v>1969</v>
      </c>
      <c r="I68" s="821" t="s">
        <v>263</v>
      </c>
      <c r="J68" s="801" t="s">
        <v>2158</v>
      </c>
      <c r="K68" s="596">
        <v>46478</v>
      </c>
      <c r="L68" s="822" t="s">
        <v>3025</v>
      </c>
      <c r="M68" s="801" t="s">
        <v>47</v>
      </c>
      <c r="N68" s="823" t="s">
        <v>264</v>
      </c>
      <c r="O68" s="823" t="s">
        <v>264</v>
      </c>
      <c r="P68" s="823" t="s">
        <v>29</v>
      </c>
    </row>
    <row r="69" spans="1:16" ht="48" x14ac:dyDescent="0.25">
      <c r="A69" s="183">
        <v>5213</v>
      </c>
      <c r="B69" s="247">
        <v>40148</v>
      </c>
      <c r="C69" s="181" t="s">
        <v>798</v>
      </c>
      <c r="D69" s="191" t="s">
        <v>2728</v>
      </c>
      <c r="E69" s="184" t="s">
        <v>265</v>
      </c>
      <c r="F69" s="192" t="s">
        <v>266</v>
      </c>
      <c r="G69" s="184" t="s">
        <v>50</v>
      </c>
      <c r="H69" s="244" t="s">
        <v>51</v>
      </c>
      <c r="I69" s="185" t="s">
        <v>33</v>
      </c>
      <c r="J69" s="244" t="s">
        <v>678</v>
      </c>
      <c r="K69" s="581">
        <v>46326</v>
      </c>
      <c r="L69" s="347">
        <v>45961</v>
      </c>
      <c r="M69" s="244" t="s">
        <v>2714</v>
      </c>
      <c r="N69" s="446">
        <v>150</v>
      </c>
      <c r="O69" s="446">
        <v>150</v>
      </c>
      <c r="P69" s="446" t="s">
        <v>29</v>
      </c>
    </row>
    <row r="70" spans="1:16" s="9" customFormat="1" ht="192" x14ac:dyDescent="0.25">
      <c r="A70" s="498">
        <v>5216</v>
      </c>
      <c r="B70" s="498" t="s">
        <v>269</v>
      </c>
      <c r="C70" s="489" t="s">
        <v>800</v>
      </c>
      <c r="D70" s="491" t="s">
        <v>2727</v>
      </c>
      <c r="E70" s="492" t="s">
        <v>270</v>
      </c>
      <c r="F70" s="492" t="s">
        <v>262</v>
      </c>
      <c r="G70" s="492" t="s">
        <v>1846</v>
      </c>
      <c r="H70" s="495" t="s">
        <v>2973</v>
      </c>
      <c r="I70" s="494" t="s">
        <v>71</v>
      </c>
      <c r="J70" s="495" t="s">
        <v>678</v>
      </c>
      <c r="K70" s="583">
        <v>46398</v>
      </c>
      <c r="L70" s="560" t="s">
        <v>2916</v>
      </c>
      <c r="M70" s="495" t="s">
        <v>52</v>
      </c>
      <c r="N70" s="561" t="s">
        <v>271</v>
      </c>
      <c r="O70" s="561" t="s">
        <v>272</v>
      </c>
      <c r="P70" s="561" t="s">
        <v>35</v>
      </c>
    </row>
    <row r="71" spans="1:16" s="771" customFormat="1" ht="96" x14ac:dyDescent="0.25">
      <c r="A71" s="535">
        <v>5218</v>
      </c>
      <c r="B71" s="535" t="s">
        <v>273</v>
      </c>
      <c r="C71" s="562" t="s">
        <v>801</v>
      </c>
      <c r="D71" s="524" t="s">
        <v>2727</v>
      </c>
      <c r="E71" s="563" t="s">
        <v>274</v>
      </c>
      <c r="F71" s="563" t="s">
        <v>275</v>
      </c>
      <c r="G71" s="538" t="s">
        <v>1846</v>
      </c>
      <c r="H71" s="770" t="s">
        <v>3115</v>
      </c>
      <c r="I71" s="564" t="s">
        <v>60</v>
      </c>
      <c r="J71" s="544" t="s">
        <v>678</v>
      </c>
      <c r="K71" s="926">
        <v>46546</v>
      </c>
      <c r="L71" s="545" t="s">
        <v>3116</v>
      </c>
      <c r="M71" s="544" t="s">
        <v>52</v>
      </c>
      <c r="N71" s="566" t="s">
        <v>276</v>
      </c>
      <c r="O71" s="566">
        <v>0</v>
      </c>
      <c r="P71" s="566" t="s">
        <v>35</v>
      </c>
    </row>
    <row r="72" spans="1:16" s="795" customFormat="1" ht="36" x14ac:dyDescent="0.25">
      <c r="A72" s="824">
        <v>5220</v>
      </c>
      <c r="B72" s="824"/>
      <c r="C72" s="913" t="s">
        <v>802</v>
      </c>
      <c r="D72" s="914" t="s">
        <v>2727</v>
      </c>
      <c r="E72" s="826" t="s">
        <v>226</v>
      </c>
      <c r="F72" s="826" t="s">
        <v>277</v>
      </c>
      <c r="G72" s="826" t="s">
        <v>202</v>
      </c>
      <c r="H72" s="828" t="s">
        <v>2245</v>
      </c>
      <c r="I72" s="915" t="s">
        <v>64</v>
      </c>
      <c r="J72" s="828" t="s">
        <v>2158</v>
      </c>
      <c r="K72" s="916">
        <v>46515</v>
      </c>
      <c r="L72" s="832" t="s">
        <v>3075</v>
      </c>
      <c r="M72" s="467" t="s">
        <v>26</v>
      </c>
      <c r="N72" s="917"/>
      <c r="O72" s="833"/>
      <c r="P72" s="833"/>
    </row>
    <row r="73" spans="1:16" s="771" customFormat="1" ht="48" x14ac:dyDescent="0.25">
      <c r="A73" s="498">
        <v>5226</v>
      </c>
      <c r="B73" s="498"/>
      <c r="C73" s="489" t="s">
        <v>1890</v>
      </c>
      <c r="D73" s="491" t="s">
        <v>2727</v>
      </c>
      <c r="E73" s="492" t="s">
        <v>281</v>
      </c>
      <c r="F73" s="493" t="s">
        <v>282</v>
      </c>
      <c r="G73" s="492" t="s">
        <v>213</v>
      </c>
      <c r="H73" s="495" t="s">
        <v>283</v>
      </c>
      <c r="I73" s="494" t="s">
        <v>60</v>
      </c>
      <c r="J73" s="495" t="s">
        <v>678</v>
      </c>
      <c r="K73" s="926">
        <v>46546</v>
      </c>
      <c r="L73" s="545" t="s">
        <v>3121</v>
      </c>
      <c r="M73" s="544" t="s">
        <v>52</v>
      </c>
      <c r="N73" s="566"/>
      <c r="O73" s="561"/>
      <c r="P73" s="561" t="s">
        <v>29</v>
      </c>
    </row>
    <row r="74" spans="1:16" s="769" customFormat="1" ht="98.25" customHeight="1" x14ac:dyDescent="0.2">
      <c r="A74" s="482" t="s">
        <v>284</v>
      </c>
      <c r="B74" s="768"/>
      <c r="C74" s="717" t="s">
        <v>3131</v>
      </c>
      <c r="D74" s="483" t="s">
        <v>2727</v>
      </c>
      <c r="E74" s="484" t="s">
        <v>285</v>
      </c>
      <c r="F74" s="485" t="s">
        <v>286</v>
      </c>
      <c r="G74" s="484" t="s">
        <v>1939</v>
      </c>
      <c r="H74" s="927" t="s">
        <v>3220</v>
      </c>
      <c r="I74" s="719" t="s">
        <v>24</v>
      </c>
      <c r="J74" s="718" t="s">
        <v>2330</v>
      </c>
      <c r="K74" s="720">
        <v>46431</v>
      </c>
      <c r="L74" s="486">
        <v>43843</v>
      </c>
      <c r="M74" s="485" t="s">
        <v>47</v>
      </c>
      <c r="N74" s="487" t="s">
        <v>2660</v>
      </c>
      <c r="O74" s="487"/>
      <c r="P74" s="487" t="s">
        <v>35</v>
      </c>
    </row>
    <row r="75" spans="1:16" s="918" customFormat="1" ht="60" x14ac:dyDescent="0.25">
      <c r="A75" s="894">
        <v>5229</v>
      </c>
      <c r="B75" s="895">
        <v>40330</v>
      </c>
      <c r="C75" s="896" t="s">
        <v>804</v>
      </c>
      <c r="D75" s="787" t="s">
        <v>2727</v>
      </c>
      <c r="E75" s="897" t="s">
        <v>287</v>
      </c>
      <c r="F75" s="897" t="s">
        <v>288</v>
      </c>
      <c r="G75" s="897" t="s">
        <v>1909</v>
      </c>
      <c r="H75" s="793" t="s">
        <v>2185</v>
      </c>
      <c r="I75" s="829" t="s">
        <v>71</v>
      </c>
      <c r="J75" s="793" t="s">
        <v>2158</v>
      </c>
      <c r="K75" s="596">
        <v>46447</v>
      </c>
      <c r="L75" s="822" t="s">
        <v>2997</v>
      </c>
      <c r="M75" s="801" t="s">
        <v>47</v>
      </c>
      <c r="N75" s="823">
        <v>200</v>
      </c>
      <c r="O75" s="900">
        <v>0</v>
      </c>
      <c r="P75" s="900" t="s">
        <v>35</v>
      </c>
    </row>
    <row r="76" spans="1:16" s="32" customFormat="1" ht="120" x14ac:dyDescent="0.2">
      <c r="A76" s="489" t="s">
        <v>292</v>
      </c>
      <c r="B76" s="490">
        <v>40603</v>
      </c>
      <c r="C76" s="489" t="s">
        <v>806</v>
      </c>
      <c r="D76" s="491" t="s">
        <v>2727</v>
      </c>
      <c r="E76" s="492" t="s">
        <v>293</v>
      </c>
      <c r="F76" s="492" t="s">
        <v>294</v>
      </c>
      <c r="G76" s="493" t="s">
        <v>2235</v>
      </c>
      <c r="H76" s="493" t="s">
        <v>2246</v>
      </c>
      <c r="I76" s="494" t="s">
        <v>33</v>
      </c>
      <c r="J76" s="495" t="s">
        <v>2397</v>
      </c>
      <c r="K76" s="912" t="s">
        <v>3233</v>
      </c>
      <c r="L76" s="560">
        <v>45839</v>
      </c>
      <c r="M76" s="495" t="s">
        <v>2619</v>
      </c>
      <c r="N76" s="496" t="s">
        <v>296</v>
      </c>
      <c r="O76" s="496" t="s">
        <v>28</v>
      </c>
      <c r="P76" s="496" t="s">
        <v>35</v>
      </c>
    </row>
    <row r="77" spans="1:16" ht="34.5" customHeight="1" x14ac:dyDescent="0.25">
      <c r="A77" s="3">
        <v>5235</v>
      </c>
      <c r="B77" s="21">
        <v>40603</v>
      </c>
      <c r="C77" s="2" t="s">
        <v>297</v>
      </c>
      <c r="D77" s="2"/>
      <c r="E77" s="4"/>
      <c r="F77" s="4" t="s">
        <v>298</v>
      </c>
      <c r="G77" s="4" t="s">
        <v>90</v>
      </c>
      <c r="H77" s="99"/>
      <c r="I77" s="5" t="s">
        <v>251</v>
      </c>
      <c r="J77" s="544" t="s">
        <v>46</v>
      </c>
      <c r="K77" s="734">
        <v>46218</v>
      </c>
      <c r="L77" s="407"/>
      <c r="M77" s="20"/>
      <c r="N77" s="445"/>
      <c r="O77" s="445"/>
      <c r="P77" s="445"/>
    </row>
    <row r="78" spans="1:16" ht="36" x14ac:dyDescent="0.25">
      <c r="A78" s="183">
        <v>5236</v>
      </c>
      <c r="B78" s="247">
        <v>40603</v>
      </c>
      <c r="C78" s="181" t="s">
        <v>807</v>
      </c>
      <c r="D78" s="191" t="s">
        <v>2727</v>
      </c>
      <c r="E78" s="184" t="s">
        <v>299</v>
      </c>
      <c r="F78" s="192" t="s">
        <v>300</v>
      </c>
      <c r="G78" s="184" t="s">
        <v>131</v>
      </c>
      <c r="H78" s="244" t="s">
        <v>28</v>
      </c>
      <c r="I78" s="185" t="s">
        <v>71</v>
      </c>
      <c r="J78" s="495" t="s">
        <v>678</v>
      </c>
      <c r="K78" s="583">
        <v>46522</v>
      </c>
      <c r="L78" s="660" t="s">
        <v>3062</v>
      </c>
      <c r="M78" s="658" t="s">
        <v>47</v>
      </c>
      <c r="N78" s="446" t="s">
        <v>28</v>
      </c>
      <c r="O78" s="446" t="s">
        <v>28</v>
      </c>
      <c r="P78" s="446" t="s">
        <v>29</v>
      </c>
    </row>
    <row r="79" spans="1:16" ht="156" x14ac:dyDescent="0.25">
      <c r="A79" s="783">
        <v>5237</v>
      </c>
      <c r="B79" s="248">
        <v>40695</v>
      </c>
      <c r="C79" s="249" t="s">
        <v>808</v>
      </c>
      <c r="D79" s="398" t="s">
        <v>2727</v>
      </c>
      <c r="E79" s="250" t="s">
        <v>301</v>
      </c>
      <c r="F79" s="251" t="s">
        <v>302</v>
      </c>
      <c r="G79" s="851" t="s">
        <v>3234</v>
      </c>
      <c r="H79" s="343" t="s">
        <v>2247</v>
      </c>
      <c r="I79" s="252" t="s">
        <v>33</v>
      </c>
      <c r="J79" s="961" t="s">
        <v>429</v>
      </c>
      <c r="K79" s="962">
        <v>46569</v>
      </c>
      <c r="L79" s="417" t="s">
        <v>3132</v>
      </c>
      <c r="M79" s="343" t="s">
        <v>47</v>
      </c>
      <c r="N79" s="455" t="s">
        <v>303</v>
      </c>
      <c r="O79" s="455"/>
      <c r="P79" s="455" t="s">
        <v>35</v>
      </c>
    </row>
    <row r="80" spans="1:16" s="32" customFormat="1" ht="132" x14ac:dyDescent="0.2">
      <c r="A80" s="181" t="s">
        <v>304</v>
      </c>
      <c r="B80" s="247">
        <v>40664</v>
      </c>
      <c r="C80" s="181" t="s">
        <v>809</v>
      </c>
      <c r="D80" s="191" t="s">
        <v>2748</v>
      </c>
      <c r="E80" s="184" t="s">
        <v>305</v>
      </c>
      <c r="F80" s="184" t="s">
        <v>306</v>
      </c>
      <c r="G80" s="654" t="s">
        <v>2235</v>
      </c>
      <c r="H80" s="244" t="s">
        <v>2853</v>
      </c>
      <c r="I80" s="185" t="s">
        <v>33</v>
      </c>
      <c r="J80" s="244" t="s">
        <v>1711</v>
      </c>
      <c r="K80" s="581">
        <v>46234</v>
      </c>
      <c r="L80" s="677" t="s">
        <v>3163</v>
      </c>
      <c r="M80" s="656" t="s">
        <v>52</v>
      </c>
      <c r="N80" s="446" t="s">
        <v>307</v>
      </c>
      <c r="O80" s="446" t="s">
        <v>28</v>
      </c>
      <c r="P80" s="446" t="s">
        <v>35</v>
      </c>
    </row>
    <row r="81" spans="1:16" ht="84" x14ac:dyDescent="0.25">
      <c r="A81" s="3">
        <v>5240</v>
      </c>
      <c r="B81" s="21">
        <v>40664</v>
      </c>
      <c r="C81" s="2" t="s">
        <v>810</v>
      </c>
      <c r="D81" s="10" t="s">
        <v>2749</v>
      </c>
      <c r="E81" s="4" t="s">
        <v>308</v>
      </c>
      <c r="F81" s="4" t="s">
        <v>159</v>
      </c>
      <c r="G81" s="4" t="s">
        <v>2229</v>
      </c>
      <c r="H81" s="20" t="s">
        <v>2527</v>
      </c>
      <c r="I81" s="5" t="s">
        <v>64</v>
      </c>
      <c r="J81" s="20" t="s">
        <v>678</v>
      </c>
      <c r="K81" s="576">
        <v>46506</v>
      </c>
      <c r="L81" s="407">
        <v>41393</v>
      </c>
      <c r="M81" s="20" t="s">
        <v>26</v>
      </c>
      <c r="N81" s="445"/>
      <c r="O81" s="445"/>
      <c r="P81" s="445" t="s">
        <v>29</v>
      </c>
    </row>
    <row r="82" spans="1:16" ht="108" x14ac:dyDescent="0.25">
      <c r="A82" s="183">
        <v>5243</v>
      </c>
      <c r="B82" s="247">
        <v>40787</v>
      </c>
      <c r="C82" s="181" t="s">
        <v>811</v>
      </c>
      <c r="D82" s="191" t="s">
        <v>2725</v>
      </c>
      <c r="E82" s="184" t="s">
        <v>309</v>
      </c>
      <c r="F82" s="184" t="s">
        <v>310</v>
      </c>
      <c r="G82" s="184" t="s">
        <v>90</v>
      </c>
      <c r="H82" s="244" t="s">
        <v>2350</v>
      </c>
      <c r="I82" s="185" t="s">
        <v>24</v>
      </c>
      <c r="J82" s="244" t="s">
        <v>429</v>
      </c>
      <c r="K82" s="581">
        <v>46224</v>
      </c>
      <c r="L82" s="677">
        <v>45859</v>
      </c>
      <c r="M82" s="656" t="s">
        <v>26</v>
      </c>
      <c r="N82" s="446" t="s">
        <v>311</v>
      </c>
      <c r="O82" s="446">
        <v>0</v>
      </c>
      <c r="P82" s="446" t="s">
        <v>35</v>
      </c>
    </row>
    <row r="83" spans="1:16" ht="108" x14ac:dyDescent="0.25">
      <c r="A83" s="3">
        <v>5245</v>
      </c>
      <c r="B83" s="21">
        <v>40787</v>
      </c>
      <c r="C83" s="2" t="s">
        <v>812</v>
      </c>
      <c r="D83" s="10" t="s">
        <v>2725</v>
      </c>
      <c r="E83" s="4" t="s">
        <v>309</v>
      </c>
      <c r="F83" s="4" t="s">
        <v>312</v>
      </c>
      <c r="G83" s="4" t="s">
        <v>90</v>
      </c>
      <c r="H83" s="20" t="s">
        <v>2350</v>
      </c>
      <c r="I83" s="5" t="s">
        <v>71</v>
      </c>
      <c r="J83" s="20" t="s">
        <v>429</v>
      </c>
      <c r="K83" s="576">
        <v>46224</v>
      </c>
      <c r="L83" s="565">
        <v>45859</v>
      </c>
      <c r="M83" s="544" t="s">
        <v>26</v>
      </c>
      <c r="N83" s="445"/>
      <c r="O83" s="445"/>
      <c r="P83" s="445"/>
    </row>
    <row r="84" spans="1:16" s="32" customFormat="1" ht="156" x14ac:dyDescent="0.2">
      <c r="A84" s="2" t="s">
        <v>315</v>
      </c>
      <c r="B84" s="21">
        <v>40817</v>
      </c>
      <c r="C84" s="2" t="s">
        <v>814</v>
      </c>
      <c r="D84" s="10" t="s">
        <v>2727</v>
      </c>
      <c r="E84" s="4" t="s">
        <v>316</v>
      </c>
      <c r="F84" s="11" t="s">
        <v>317</v>
      </c>
      <c r="G84" s="4" t="s">
        <v>116</v>
      </c>
      <c r="H84" s="20" t="s">
        <v>1970</v>
      </c>
      <c r="I84" s="5" t="s">
        <v>33</v>
      </c>
      <c r="J84" s="20" t="s">
        <v>2158</v>
      </c>
      <c r="K84" s="576">
        <v>46293</v>
      </c>
      <c r="L84" s="922">
        <v>46293</v>
      </c>
      <c r="M84" s="902" t="s">
        <v>47</v>
      </c>
      <c r="N84" s="445">
        <v>100</v>
      </c>
      <c r="O84" s="445">
        <v>100</v>
      </c>
      <c r="P84" s="445" t="s">
        <v>35</v>
      </c>
    </row>
    <row r="85" spans="1:16" s="520" customFormat="1" ht="120" x14ac:dyDescent="0.2">
      <c r="A85" s="243" t="s">
        <v>2879</v>
      </c>
      <c r="B85" s="255"/>
      <c r="C85" s="243" t="s">
        <v>815</v>
      </c>
      <c r="D85" s="228" t="s">
        <v>2727</v>
      </c>
      <c r="E85" s="219" t="s">
        <v>226</v>
      </c>
      <c r="F85" s="219" t="s">
        <v>318</v>
      </c>
      <c r="G85" s="219" t="s">
        <v>202</v>
      </c>
      <c r="H85" s="282" t="s">
        <v>2947</v>
      </c>
      <c r="I85" s="220" t="s">
        <v>71</v>
      </c>
      <c r="J85" s="282" t="s">
        <v>2158</v>
      </c>
      <c r="K85" s="904">
        <v>46515</v>
      </c>
      <c r="L85" s="420" t="s">
        <v>3075</v>
      </c>
      <c r="M85" s="468" t="s">
        <v>26</v>
      </c>
      <c r="N85" s="453"/>
      <c r="O85" s="453"/>
      <c r="P85" s="453" t="s">
        <v>35</v>
      </c>
    </row>
    <row r="86" spans="1:16" s="33" customFormat="1" ht="129.75" customHeight="1" x14ac:dyDescent="0.2">
      <c r="A86" s="242" t="s">
        <v>2880</v>
      </c>
      <c r="B86" s="245">
        <v>40878</v>
      </c>
      <c r="C86" s="928" t="s">
        <v>3219</v>
      </c>
      <c r="D86" s="393" t="s">
        <v>2731</v>
      </c>
      <c r="E86" s="232" t="s">
        <v>319</v>
      </c>
      <c r="F86" s="234" t="s">
        <v>320</v>
      </c>
      <c r="G86" s="232" t="s">
        <v>131</v>
      </c>
      <c r="H86" s="233" t="s">
        <v>1873</v>
      </c>
      <c r="I86" s="5" t="s">
        <v>71</v>
      </c>
      <c r="J86" s="233" t="s">
        <v>46</v>
      </c>
      <c r="K86" s="582">
        <v>46371</v>
      </c>
      <c r="L86" s="418" t="s">
        <v>2866</v>
      </c>
      <c r="M86" s="233" t="s">
        <v>26</v>
      </c>
      <c r="N86" s="451" t="s">
        <v>321</v>
      </c>
      <c r="O86" s="451" t="s">
        <v>322</v>
      </c>
      <c r="P86" s="451" t="s">
        <v>35</v>
      </c>
    </row>
    <row r="87" spans="1:16" s="32" customFormat="1" ht="108" x14ac:dyDescent="0.2">
      <c r="A87" s="229" t="s">
        <v>323</v>
      </c>
      <c r="B87" s="256">
        <v>40878</v>
      </c>
      <c r="C87" s="229" t="s">
        <v>816</v>
      </c>
      <c r="D87" s="394" t="s">
        <v>2731</v>
      </c>
      <c r="E87" s="201" t="s">
        <v>319</v>
      </c>
      <c r="F87" s="202" t="s">
        <v>324</v>
      </c>
      <c r="G87" s="201" t="s">
        <v>131</v>
      </c>
      <c r="H87" s="336" t="s">
        <v>1873</v>
      </c>
      <c r="I87" s="185" t="s">
        <v>24</v>
      </c>
      <c r="J87" s="336" t="s">
        <v>46</v>
      </c>
      <c r="K87" s="590">
        <v>46371</v>
      </c>
      <c r="L87" s="419" t="s">
        <v>2866</v>
      </c>
      <c r="M87" s="467" t="s">
        <v>26</v>
      </c>
      <c r="N87" s="447" t="s">
        <v>321</v>
      </c>
      <c r="O87" s="447" t="s">
        <v>322</v>
      </c>
      <c r="P87" s="447" t="s">
        <v>35</v>
      </c>
    </row>
    <row r="88" spans="1:16" s="32" customFormat="1" ht="108" x14ac:dyDescent="0.2">
      <c r="A88" s="240" t="s">
        <v>325</v>
      </c>
      <c r="B88" s="245">
        <v>40878</v>
      </c>
      <c r="C88" s="928" t="s">
        <v>3218</v>
      </c>
      <c r="D88" s="393" t="s">
        <v>2731</v>
      </c>
      <c r="E88" s="232" t="s">
        <v>319</v>
      </c>
      <c r="F88" s="232" t="s">
        <v>326</v>
      </c>
      <c r="G88" s="232" t="s">
        <v>18</v>
      </c>
      <c r="H88" s="233" t="s">
        <v>1873</v>
      </c>
      <c r="I88" s="5" t="s">
        <v>64</v>
      </c>
      <c r="J88" s="233" t="s">
        <v>46</v>
      </c>
      <c r="K88" s="582">
        <v>46371</v>
      </c>
      <c r="L88" s="418" t="s">
        <v>2866</v>
      </c>
      <c r="M88" s="233" t="s">
        <v>26</v>
      </c>
      <c r="N88" s="451" t="s">
        <v>321</v>
      </c>
      <c r="O88" s="451" t="s">
        <v>322</v>
      </c>
      <c r="P88" s="451" t="s">
        <v>35</v>
      </c>
    </row>
    <row r="89" spans="1:16" s="512" customFormat="1" ht="169.5" customHeight="1" x14ac:dyDescent="0.25">
      <c r="A89" s="650">
        <v>5260</v>
      </c>
      <c r="B89" s="651"/>
      <c r="C89" s="652" t="s">
        <v>327</v>
      </c>
      <c r="D89" s="655" t="s">
        <v>2725</v>
      </c>
      <c r="E89" s="654" t="s">
        <v>178</v>
      </c>
      <c r="F89" s="654" t="s">
        <v>328</v>
      </c>
      <c r="G89" s="654" t="s">
        <v>90</v>
      </c>
      <c r="H89" s="925" t="s">
        <v>3222</v>
      </c>
      <c r="I89" s="657" t="s">
        <v>24</v>
      </c>
      <c r="J89" s="656" t="s">
        <v>678</v>
      </c>
      <c r="K89" s="662">
        <v>46198</v>
      </c>
      <c r="L89" s="677" t="s">
        <v>3105</v>
      </c>
      <c r="M89" s="656" t="s">
        <v>26</v>
      </c>
      <c r="N89" s="661" t="s">
        <v>329</v>
      </c>
      <c r="O89" s="661">
        <v>0</v>
      </c>
      <c r="P89" s="661"/>
    </row>
    <row r="90" spans="1:16" ht="36" x14ac:dyDescent="0.25">
      <c r="A90" s="3">
        <v>5261</v>
      </c>
      <c r="B90" s="21"/>
      <c r="C90" s="2" t="s">
        <v>330</v>
      </c>
      <c r="D90" s="11" t="s">
        <v>2739</v>
      </c>
      <c r="E90" s="4" t="s">
        <v>161</v>
      </c>
      <c r="F90" s="4" t="s">
        <v>232</v>
      </c>
      <c r="G90" s="11" t="s">
        <v>38</v>
      </c>
      <c r="H90" s="20" t="s">
        <v>2248</v>
      </c>
      <c r="I90" s="5" t="s">
        <v>71</v>
      </c>
      <c r="J90" s="20" t="s">
        <v>678</v>
      </c>
      <c r="K90" s="576">
        <v>46203</v>
      </c>
      <c r="L90" s="407"/>
      <c r="M90" s="20"/>
      <c r="N90" s="445"/>
      <c r="O90" s="445"/>
      <c r="P90" s="445"/>
    </row>
    <row r="91" spans="1:16" ht="36" x14ac:dyDescent="0.25">
      <c r="A91" s="183">
        <v>5262</v>
      </c>
      <c r="B91" s="247"/>
      <c r="C91" s="181" t="s">
        <v>331</v>
      </c>
      <c r="D91" s="192" t="s">
        <v>2746</v>
      </c>
      <c r="E91" s="184" t="s">
        <v>231</v>
      </c>
      <c r="F91" s="184" t="s">
        <v>332</v>
      </c>
      <c r="G91" s="874" t="s">
        <v>3197</v>
      </c>
      <c r="H91" s="244"/>
      <c r="I91" s="185" t="s">
        <v>64</v>
      </c>
      <c r="J91" s="244" t="s">
        <v>2401</v>
      </c>
      <c r="K91" s="603" t="s">
        <v>2401</v>
      </c>
      <c r="L91" s="347">
        <v>45931</v>
      </c>
      <c r="M91" s="244" t="s">
        <v>52</v>
      </c>
      <c r="N91" s="446"/>
      <c r="O91" s="446"/>
      <c r="P91" s="446" t="s">
        <v>29</v>
      </c>
    </row>
    <row r="92" spans="1:16" ht="24" x14ac:dyDescent="0.25">
      <c r="A92" s="3">
        <v>5263</v>
      </c>
      <c r="B92" s="21"/>
      <c r="C92" s="2" t="s">
        <v>333</v>
      </c>
      <c r="D92" s="11" t="s">
        <v>2746</v>
      </c>
      <c r="E92" s="4" t="s">
        <v>231</v>
      </c>
      <c r="F92" s="4" t="s">
        <v>334</v>
      </c>
      <c r="G92" s="4" t="s">
        <v>139</v>
      </c>
      <c r="H92" s="20" t="s">
        <v>28</v>
      </c>
      <c r="I92" s="5" t="s">
        <v>71</v>
      </c>
      <c r="J92" s="20" t="s">
        <v>678</v>
      </c>
      <c r="K92" s="576">
        <v>46296</v>
      </c>
      <c r="L92" s="407">
        <v>45931</v>
      </c>
      <c r="M92" s="20" t="s">
        <v>52</v>
      </c>
      <c r="N92" s="445"/>
      <c r="O92" s="445"/>
      <c r="P92" s="445"/>
    </row>
    <row r="93" spans="1:16" s="32" customFormat="1" ht="36" x14ac:dyDescent="0.2">
      <c r="A93" s="217" t="s">
        <v>335</v>
      </c>
      <c r="B93" s="255"/>
      <c r="C93" s="243" t="s">
        <v>336</v>
      </c>
      <c r="D93" s="205" t="s">
        <v>2739</v>
      </c>
      <c r="E93" s="219" t="s">
        <v>82</v>
      </c>
      <c r="F93" s="219" t="s">
        <v>337</v>
      </c>
      <c r="G93" s="219" t="s">
        <v>84</v>
      </c>
      <c r="H93" s="282" t="s">
        <v>2249</v>
      </c>
      <c r="I93" s="220" t="s">
        <v>24</v>
      </c>
      <c r="J93" s="282" t="s">
        <v>2158</v>
      </c>
      <c r="K93" s="588">
        <v>46306</v>
      </c>
      <c r="L93" s="412">
        <v>42654</v>
      </c>
      <c r="M93" s="282" t="s">
        <v>81</v>
      </c>
      <c r="N93" s="453"/>
      <c r="O93" s="453"/>
      <c r="P93" s="453"/>
    </row>
    <row r="94" spans="1:16" s="32" customFormat="1" ht="36" x14ac:dyDescent="0.2">
      <c r="A94" s="3" t="s">
        <v>338</v>
      </c>
      <c r="B94" s="21">
        <v>41548</v>
      </c>
      <c r="C94" s="2" t="s">
        <v>339</v>
      </c>
      <c r="D94" s="11" t="s">
        <v>2727</v>
      </c>
      <c r="E94" s="4" t="s">
        <v>218</v>
      </c>
      <c r="F94" s="4" t="s">
        <v>104</v>
      </c>
      <c r="G94" s="538" t="s">
        <v>2926</v>
      </c>
      <c r="H94" s="20"/>
      <c r="I94" s="5" t="s">
        <v>24</v>
      </c>
      <c r="J94" s="20" t="s">
        <v>678</v>
      </c>
      <c r="K94" s="576">
        <v>46386</v>
      </c>
      <c r="L94" s="407">
        <v>45656</v>
      </c>
      <c r="M94" s="20" t="s">
        <v>2848</v>
      </c>
      <c r="N94" s="445" t="s">
        <v>2849</v>
      </c>
      <c r="O94" s="445" t="s">
        <v>28</v>
      </c>
      <c r="P94" s="445" t="s">
        <v>2850</v>
      </c>
    </row>
    <row r="95" spans="1:16" s="32" customFormat="1" ht="60" x14ac:dyDescent="0.2">
      <c r="A95" s="498" t="s">
        <v>340</v>
      </c>
      <c r="B95" s="490">
        <v>41244</v>
      </c>
      <c r="C95" s="489" t="s">
        <v>817</v>
      </c>
      <c r="D95" s="491" t="s">
        <v>2730</v>
      </c>
      <c r="E95" s="492" t="s">
        <v>341</v>
      </c>
      <c r="F95" s="492" t="s">
        <v>256</v>
      </c>
      <c r="G95" s="492" t="s">
        <v>3158</v>
      </c>
      <c r="H95" s="493" t="s">
        <v>28</v>
      </c>
      <c r="I95" s="492" t="s">
        <v>33</v>
      </c>
      <c r="J95" s="493" t="s">
        <v>678</v>
      </c>
      <c r="K95" s="600">
        <v>46362</v>
      </c>
      <c r="L95" s="499">
        <v>45632</v>
      </c>
      <c r="M95" s="493" t="s">
        <v>47</v>
      </c>
      <c r="N95" s="500"/>
      <c r="O95" s="500"/>
      <c r="P95" s="500" t="s">
        <v>29</v>
      </c>
    </row>
    <row r="96" spans="1:16" s="1" customFormat="1" ht="99" customHeight="1" x14ac:dyDescent="0.25">
      <c r="A96" s="3">
        <v>5272</v>
      </c>
      <c r="B96" s="21"/>
      <c r="C96" s="2" t="s">
        <v>342</v>
      </c>
      <c r="D96" s="11" t="s">
        <v>2725</v>
      </c>
      <c r="E96" s="4" t="s">
        <v>234</v>
      </c>
      <c r="F96" s="4" t="s">
        <v>343</v>
      </c>
      <c r="G96" s="11" t="s">
        <v>90</v>
      </c>
      <c r="H96" s="20" t="s">
        <v>2350</v>
      </c>
      <c r="I96" s="5" t="s">
        <v>24</v>
      </c>
      <c r="J96" s="20" t="s">
        <v>46</v>
      </c>
      <c r="K96" s="576">
        <v>46218</v>
      </c>
      <c r="L96" s="560" t="s">
        <v>3137</v>
      </c>
      <c r="M96" s="495" t="s">
        <v>52</v>
      </c>
      <c r="N96" s="445"/>
      <c r="O96" s="445"/>
      <c r="P96" s="445"/>
    </row>
    <row r="97" spans="1:16" s="32" customFormat="1" ht="108" x14ac:dyDescent="0.2">
      <c r="A97" s="183" t="s">
        <v>344</v>
      </c>
      <c r="B97" s="247"/>
      <c r="C97" s="181" t="s">
        <v>345</v>
      </c>
      <c r="D97" s="192" t="s">
        <v>2725</v>
      </c>
      <c r="E97" s="184" t="s">
        <v>234</v>
      </c>
      <c r="F97" s="184" t="s">
        <v>346</v>
      </c>
      <c r="G97" s="192" t="s">
        <v>90</v>
      </c>
      <c r="H97" s="244" t="s">
        <v>2350</v>
      </c>
      <c r="I97" s="185" t="s">
        <v>64</v>
      </c>
      <c r="J97" s="801" t="s">
        <v>46</v>
      </c>
      <c r="K97" s="596">
        <v>46218</v>
      </c>
      <c r="L97" s="560" t="s">
        <v>3137</v>
      </c>
      <c r="M97" s="495" t="s">
        <v>52</v>
      </c>
      <c r="N97" s="446"/>
      <c r="O97" s="446"/>
      <c r="P97" s="446"/>
    </row>
    <row r="98" spans="1:16" ht="51.75" customHeight="1" x14ac:dyDescent="0.25">
      <c r="A98" s="3">
        <v>5274</v>
      </c>
      <c r="B98" s="257"/>
      <c r="C98" s="2" t="s">
        <v>818</v>
      </c>
      <c r="D98" s="10" t="s">
        <v>2727</v>
      </c>
      <c r="E98" s="4" t="s">
        <v>287</v>
      </c>
      <c r="F98" s="4" t="s">
        <v>288</v>
      </c>
      <c r="G98" s="11" t="s">
        <v>2175</v>
      </c>
      <c r="H98" s="20" t="s">
        <v>2250</v>
      </c>
      <c r="I98" s="5" t="s">
        <v>24</v>
      </c>
      <c r="J98" s="20" t="s">
        <v>2158</v>
      </c>
      <c r="K98" s="576">
        <v>46447</v>
      </c>
      <c r="L98" s="407" t="s">
        <v>2997</v>
      </c>
      <c r="M98" s="20" t="s">
        <v>47</v>
      </c>
      <c r="N98" s="445"/>
      <c r="O98" s="445"/>
      <c r="P98" s="445"/>
    </row>
    <row r="99" spans="1:16" s="32" customFormat="1" ht="48" x14ac:dyDescent="0.2">
      <c r="A99" s="183" t="s">
        <v>347</v>
      </c>
      <c r="B99" s="247"/>
      <c r="C99" s="181" t="s">
        <v>819</v>
      </c>
      <c r="D99" s="191" t="s">
        <v>2727</v>
      </c>
      <c r="E99" s="184" t="s">
        <v>287</v>
      </c>
      <c r="F99" s="184" t="s">
        <v>332</v>
      </c>
      <c r="G99" s="184" t="s">
        <v>1909</v>
      </c>
      <c r="H99" s="244" t="s">
        <v>2250</v>
      </c>
      <c r="I99" s="185" t="s">
        <v>64</v>
      </c>
      <c r="J99" s="20" t="s">
        <v>2158</v>
      </c>
      <c r="K99" s="576">
        <v>46447</v>
      </c>
      <c r="L99" s="347" t="s">
        <v>2997</v>
      </c>
      <c r="M99" s="244" t="s">
        <v>47</v>
      </c>
      <c r="N99" s="446"/>
      <c r="O99" s="446"/>
      <c r="P99" s="446"/>
    </row>
    <row r="100" spans="1:16" s="32" customFormat="1" ht="108" x14ac:dyDescent="0.2">
      <c r="A100" s="207" t="s">
        <v>348</v>
      </c>
      <c r="B100" s="257">
        <v>41334</v>
      </c>
      <c r="C100" s="242" t="s">
        <v>820</v>
      </c>
      <c r="D100" s="208" t="s">
        <v>2727</v>
      </c>
      <c r="E100" s="209" t="s">
        <v>349</v>
      </c>
      <c r="F100" s="209" t="s">
        <v>350</v>
      </c>
      <c r="G100" s="209" t="s">
        <v>351</v>
      </c>
      <c r="H100" s="281" t="s">
        <v>2095</v>
      </c>
      <c r="I100" s="211" t="s">
        <v>71</v>
      </c>
      <c r="J100" s="281" t="s">
        <v>678</v>
      </c>
      <c r="K100" s="584">
        <v>46408</v>
      </c>
      <c r="L100" s="415" t="s">
        <v>2918</v>
      </c>
      <c r="M100" s="281" t="s">
        <v>52</v>
      </c>
      <c r="N100" s="452">
        <v>200</v>
      </c>
      <c r="O100" s="452">
        <v>200</v>
      </c>
      <c r="P100" s="452" t="s">
        <v>416</v>
      </c>
    </row>
    <row r="101" spans="1:16" s="33" customFormat="1" ht="108" x14ac:dyDescent="0.2">
      <c r="A101" s="217" t="s">
        <v>352</v>
      </c>
      <c r="B101" s="255">
        <v>41334</v>
      </c>
      <c r="C101" s="243" t="s">
        <v>821</v>
      </c>
      <c r="D101" s="228" t="s">
        <v>2727</v>
      </c>
      <c r="E101" s="219" t="s">
        <v>349</v>
      </c>
      <c r="F101" s="219" t="s">
        <v>353</v>
      </c>
      <c r="G101" s="929" t="s">
        <v>351</v>
      </c>
      <c r="H101" s="282" t="s">
        <v>2095</v>
      </c>
      <c r="I101" s="220" t="s">
        <v>24</v>
      </c>
      <c r="J101" s="282" t="s">
        <v>678</v>
      </c>
      <c r="K101" s="588">
        <v>46408</v>
      </c>
      <c r="L101" s="420" t="s">
        <v>2918</v>
      </c>
      <c r="M101" s="468" t="s">
        <v>52</v>
      </c>
      <c r="N101" s="446">
        <v>200</v>
      </c>
      <c r="O101" s="446">
        <v>200</v>
      </c>
      <c r="P101" s="446" t="s">
        <v>29</v>
      </c>
    </row>
    <row r="102" spans="1:16" s="33" customFormat="1" ht="204" x14ac:dyDescent="0.2">
      <c r="A102" s="535" t="s">
        <v>354</v>
      </c>
      <c r="B102" s="498" t="s">
        <v>269</v>
      </c>
      <c r="C102" s="562" t="s">
        <v>355</v>
      </c>
      <c r="D102" s="538" t="s">
        <v>2727</v>
      </c>
      <c r="E102" s="563" t="s">
        <v>270</v>
      </c>
      <c r="F102" s="563" t="s">
        <v>356</v>
      </c>
      <c r="G102" s="563" t="s">
        <v>1846</v>
      </c>
      <c r="H102" s="544" t="s">
        <v>2974</v>
      </c>
      <c r="I102" s="564" t="s">
        <v>24</v>
      </c>
      <c r="J102" s="544" t="s">
        <v>678</v>
      </c>
      <c r="K102" s="601">
        <v>46398</v>
      </c>
      <c r="L102" s="565" t="s">
        <v>2923</v>
      </c>
      <c r="M102" s="544" t="s">
        <v>26</v>
      </c>
      <c r="N102" s="566"/>
      <c r="O102" s="566"/>
      <c r="P102" s="566"/>
    </row>
    <row r="103" spans="1:16" s="33" customFormat="1" ht="72" x14ac:dyDescent="0.2">
      <c r="A103" s="181" t="s">
        <v>357</v>
      </c>
      <c r="B103" s="247">
        <v>41030</v>
      </c>
      <c r="C103" s="181" t="s">
        <v>822</v>
      </c>
      <c r="D103" s="191" t="s">
        <v>2727</v>
      </c>
      <c r="E103" s="193" t="s">
        <v>358</v>
      </c>
      <c r="F103" s="184" t="s">
        <v>359</v>
      </c>
      <c r="G103" s="192" t="s">
        <v>2375</v>
      </c>
      <c r="H103" s="244" t="s">
        <v>360</v>
      </c>
      <c r="I103" s="185" t="s">
        <v>56</v>
      </c>
      <c r="J103" s="244" t="s">
        <v>361</v>
      </c>
      <c r="K103" s="581">
        <v>46173</v>
      </c>
      <c r="L103" s="347" t="s">
        <v>3039</v>
      </c>
      <c r="M103" s="244" t="s">
        <v>52</v>
      </c>
      <c r="N103" s="446">
        <v>250</v>
      </c>
      <c r="O103" s="446">
        <v>250</v>
      </c>
      <c r="P103" s="446" t="s">
        <v>35</v>
      </c>
    </row>
    <row r="104" spans="1:16" s="520" customFormat="1" ht="120" x14ac:dyDescent="0.2">
      <c r="A104" s="181" t="s">
        <v>364</v>
      </c>
      <c r="B104" s="247">
        <v>40940</v>
      </c>
      <c r="C104" s="181" t="s">
        <v>2305</v>
      </c>
      <c r="D104" s="191" t="s">
        <v>2726</v>
      </c>
      <c r="E104" s="184" t="s">
        <v>365</v>
      </c>
      <c r="F104" s="192" t="s">
        <v>366</v>
      </c>
      <c r="G104" s="655" t="s">
        <v>3198</v>
      </c>
      <c r="H104" s="244" t="s">
        <v>1874</v>
      </c>
      <c r="I104" s="185" t="s">
        <v>33</v>
      </c>
      <c r="J104" s="244" t="s">
        <v>678</v>
      </c>
      <c r="K104" s="581">
        <v>46396</v>
      </c>
      <c r="L104" s="302" t="s">
        <v>2917</v>
      </c>
      <c r="M104" s="244" t="s">
        <v>26</v>
      </c>
      <c r="N104" s="446">
        <v>150</v>
      </c>
      <c r="O104" s="446">
        <v>150</v>
      </c>
      <c r="P104" s="446" t="s">
        <v>35</v>
      </c>
    </row>
    <row r="105" spans="1:16" ht="96" x14ac:dyDescent="0.25">
      <c r="A105" s="207">
        <v>5286</v>
      </c>
      <c r="B105" s="257">
        <v>41030</v>
      </c>
      <c r="C105" s="242" t="s">
        <v>2306</v>
      </c>
      <c r="D105" s="208" t="s">
        <v>2727</v>
      </c>
      <c r="E105" s="209" t="s">
        <v>367</v>
      </c>
      <c r="F105" s="209" t="s">
        <v>368</v>
      </c>
      <c r="G105" s="210" t="s">
        <v>1909</v>
      </c>
      <c r="H105" s="281" t="s">
        <v>2650</v>
      </c>
      <c r="I105" s="211" t="s">
        <v>33</v>
      </c>
      <c r="J105" s="281" t="s">
        <v>2158</v>
      </c>
      <c r="K105" s="720">
        <v>46495</v>
      </c>
      <c r="L105" s="415" t="s">
        <v>3050</v>
      </c>
      <c r="M105" s="281" t="s">
        <v>26</v>
      </c>
      <c r="N105" s="452" t="s">
        <v>369</v>
      </c>
      <c r="O105" s="452">
        <v>100</v>
      </c>
      <c r="P105" s="452" t="s">
        <v>35</v>
      </c>
    </row>
    <row r="106" spans="1:16" s="497" customFormat="1" ht="72" x14ac:dyDescent="0.25">
      <c r="A106" s="3">
        <v>5291</v>
      </c>
      <c r="B106" s="21"/>
      <c r="C106" s="2" t="s">
        <v>825</v>
      </c>
      <c r="D106" s="10" t="s">
        <v>2727</v>
      </c>
      <c r="E106" s="4" t="s">
        <v>371</v>
      </c>
      <c r="F106" s="4" t="s">
        <v>87</v>
      </c>
      <c r="G106" s="4" t="s">
        <v>1909</v>
      </c>
      <c r="H106" s="20" t="s">
        <v>1971</v>
      </c>
      <c r="I106" s="5" t="s">
        <v>372</v>
      </c>
      <c r="J106" s="20" t="s">
        <v>2158</v>
      </c>
      <c r="K106" s="601">
        <v>46478</v>
      </c>
      <c r="L106" s="407"/>
      <c r="M106" s="20"/>
      <c r="N106" s="445"/>
      <c r="O106" s="445"/>
      <c r="P106" s="445" t="s">
        <v>29</v>
      </c>
    </row>
    <row r="107" spans="1:16" ht="168" x14ac:dyDescent="0.25">
      <c r="A107" s="183">
        <v>5292</v>
      </c>
      <c r="B107" s="247">
        <v>41061</v>
      </c>
      <c r="C107" s="181" t="s">
        <v>826</v>
      </c>
      <c r="D107" s="191" t="s">
        <v>2727</v>
      </c>
      <c r="E107" s="184" t="s">
        <v>373</v>
      </c>
      <c r="F107" s="184" t="s">
        <v>37</v>
      </c>
      <c r="G107" s="192" t="s">
        <v>2444</v>
      </c>
      <c r="H107" s="244" t="s">
        <v>28</v>
      </c>
      <c r="I107" s="185" t="s">
        <v>39</v>
      </c>
      <c r="J107" s="244" t="s">
        <v>2158</v>
      </c>
      <c r="K107" s="659">
        <v>46516</v>
      </c>
      <c r="L107" s="660" t="s">
        <v>3072</v>
      </c>
      <c r="M107" s="658" t="s">
        <v>26</v>
      </c>
      <c r="N107" s="446"/>
      <c r="O107" s="446"/>
      <c r="P107" s="446" t="s">
        <v>29</v>
      </c>
    </row>
    <row r="108" spans="1:16" s="643" customFormat="1" ht="117" x14ac:dyDescent="0.25">
      <c r="A108" s="2">
        <v>5293</v>
      </c>
      <c r="B108" s="246">
        <v>41214</v>
      </c>
      <c r="C108" s="2" t="s">
        <v>2211</v>
      </c>
      <c r="D108" s="11" t="s">
        <v>2727</v>
      </c>
      <c r="E108" s="11" t="s">
        <v>374</v>
      </c>
      <c r="F108" s="11" t="s">
        <v>375</v>
      </c>
      <c r="G108" s="210" t="s">
        <v>179</v>
      </c>
      <c r="H108" s="11" t="s">
        <v>2536</v>
      </c>
      <c r="I108" s="11" t="s">
        <v>60</v>
      </c>
      <c r="J108" s="11" t="s">
        <v>2158</v>
      </c>
      <c r="K108" s="649">
        <v>46289</v>
      </c>
      <c r="L108" s="966">
        <v>46289</v>
      </c>
      <c r="M108" s="921" t="s">
        <v>26</v>
      </c>
      <c r="N108" s="644" t="s">
        <v>2114</v>
      </c>
      <c r="O108" s="644" t="s">
        <v>2114</v>
      </c>
      <c r="P108" s="13" t="s">
        <v>29</v>
      </c>
    </row>
    <row r="109" spans="1:16" ht="60" x14ac:dyDescent="0.25">
      <c r="A109" s="258">
        <v>5295</v>
      </c>
      <c r="B109" s="259">
        <v>41275</v>
      </c>
      <c r="C109" s="260" t="s">
        <v>827</v>
      </c>
      <c r="D109" s="390" t="s">
        <v>2730</v>
      </c>
      <c r="E109" s="261" t="s">
        <v>376</v>
      </c>
      <c r="F109" s="261" t="s">
        <v>377</v>
      </c>
      <c r="G109" s="261" t="s">
        <v>144</v>
      </c>
      <c r="H109" s="269" t="s">
        <v>2909</v>
      </c>
      <c r="I109" s="263" t="s">
        <v>60</v>
      </c>
      <c r="J109" s="269" t="s">
        <v>678</v>
      </c>
      <c r="K109" s="871">
        <v>46373</v>
      </c>
      <c r="L109" s="872" t="s">
        <v>2905</v>
      </c>
      <c r="M109" s="873" t="s">
        <v>52</v>
      </c>
      <c r="N109" s="456">
        <v>100</v>
      </c>
      <c r="O109" s="456"/>
      <c r="P109" s="456" t="s">
        <v>35</v>
      </c>
    </row>
    <row r="110" spans="1:16" s="1" customFormat="1" ht="60" x14ac:dyDescent="0.25">
      <c r="A110" s="3">
        <v>5300</v>
      </c>
      <c r="B110" s="21">
        <v>41395</v>
      </c>
      <c r="C110" s="2" t="s">
        <v>828</v>
      </c>
      <c r="D110" s="10" t="s">
        <v>2726</v>
      </c>
      <c r="E110" s="4" t="s">
        <v>378</v>
      </c>
      <c r="F110" s="4" t="s">
        <v>379</v>
      </c>
      <c r="G110" s="4" t="s">
        <v>202</v>
      </c>
      <c r="H110" s="20" t="s">
        <v>1878</v>
      </c>
      <c r="I110" s="5" t="s">
        <v>33</v>
      </c>
      <c r="J110" s="20" t="s">
        <v>2158</v>
      </c>
      <c r="K110" s="601">
        <v>46488</v>
      </c>
      <c r="L110" s="407" t="s">
        <v>3044</v>
      </c>
      <c r="M110" s="20" t="s">
        <v>52</v>
      </c>
      <c r="N110" s="445"/>
      <c r="O110" s="445"/>
      <c r="P110" s="445" t="s">
        <v>35</v>
      </c>
    </row>
    <row r="111" spans="1:16" ht="84" x14ac:dyDescent="0.25">
      <c r="A111" s="258">
        <v>5301</v>
      </c>
      <c r="B111" s="259">
        <v>41426</v>
      </c>
      <c r="C111" s="260" t="s">
        <v>829</v>
      </c>
      <c r="D111" s="390" t="s">
        <v>2750</v>
      </c>
      <c r="E111" s="261" t="s">
        <v>380</v>
      </c>
      <c r="F111" s="261" t="s">
        <v>381</v>
      </c>
      <c r="G111" s="262" t="s">
        <v>84</v>
      </c>
      <c r="H111" s="269" t="s">
        <v>2639</v>
      </c>
      <c r="I111" s="263" t="s">
        <v>33</v>
      </c>
      <c r="J111" s="508" t="s">
        <v>678</v>
      </c>
      <c r="K111" s="871">
        <v>46516</v>
      </c>
      <c r="L111" s="872" t="s">
        <v>3072</v>
      </c>
      <c r="M111" s="873" t="s">
        <v>52</v>
      </c>
      <c r="N111" s="456" t="s">
        <v>382</v>
      </c>
      <c r="O111" s="456" t="s">
        <v>382</v>
      </c>
      <c r="P111" s="456" t="s">
        <v>35</v>
      </c>
    </row>
    <row r="112" spans="1:16" ht="96" x14ac:dyDescent="0.25">
      <c r="A112" s="3">
        <v>5302</v>
      </c>
      <c r="B112" s="21">
        <v>41487</v>
      </c>
      <c r="C112" s="2" t="s">
        <v>830</v>
      </c>
      <c r="D112" s="10" t="s">
        <v>2727</v>
      </c>
      <c r="E112" s="4" t="s">
        <v>383</v>
      </c>
      <c r="F112" s="4" t="s">
        <v>384</v>
      </c>
      <c r="G112" s="4" t="s">
        <v>131</v>
      </c>
      <c r="H112" s="20" t="s">
        <v>2260</v>
      </c>
      <c r="I112" s="5" t="s">
        <v>71</v>
      </c>
      <c r="J112" s="544" t="s">
        <v>678</v>
      </c>
      <c r="K112" s="601">
        <v>46234</v>
      </c>
      <c r="L112" s="565" t="s">
        <v>3163</v>
      </c>
      <c r="M112" s="544" t="s">
        <v>52</v>
      </c>
      <c r="N112" s="445">
        <v>100</v>
      </c>
      <c r="O112" s="445"/>
      <c r="P112" s="445"/>
    </row>
    <row r="113" spans="1:16" ht="96" x14ac:dyDescent="0.25">
      <c r="A113" s="183">
        <v>5303</v>
      </c>
      <c r="B113" s="247">
        <v>41487</v>
      </c>
      <c r="C113" s="181" t="s">
        <v>831</v>
      </c>
      <c r="D113" s="191" t="s">
        <v>2727</v>
      </c>
      <c r="E113" s="184" t="s">
        <v>383</v>
      </c>
      <c r="F113" s="184" t="s">
        <v>385</v>
      </c>
      <c r="G113" s="184" t="s">
        <v>131</v>
      </c>
      <c r="H113" s="244" t="s">
        <v>2259</v>
      </c>
      <c r="I113" s="185" t="s">
        <v>24</v>
      </c>
      <c r="J113" s="656" t="s">
        <v>678</v>
      </c>
      <c r="K113" s="662">
        <v>46234</v>
      </c>
      <c r="L113" s="660" t="s">
        <v>3163</v>
      </c>
      <c r="M113" s="658" t="s">
        <v>52</v>
      </c>
      <c r="N113" s="446">
        <v>100</v>
      </c>
      <c r="O113" s="446"/>
      <c r="P113" s="446" t="s">
        <v>35</v>
      </c>
    </row>
    <row r="114" spans="1:16" s="1" customFormat="1" ht="84" x14ac:dyDescent="0.25">
      <c r="A114" s="3">
        <v>5306</v>
      </c>
      <c r="B114" s="21">
        <v>41579</v>
      </c>
      <c r="C114" s="2" t="s">
        <v>832</v>
      </c>
      <c r="D114" s="10" t="s">
        <v>2727</v>
      </c>
      <c r="E114" s="4" t="s">
        <v>386</v>
      </c>
      <c r="F114" s="4" t="s">
        <v>381</v>
      </c>
      <c r="G114" s="4" t="s">
        <v>2323</v>
      </c>
      <c r="H114" s="544" t="s">
        <v>3177</v>
      </c>
      <c r="I114" s="5" t="s">
        <v>60</v>
      </c>
      <c r="J114" s="20" t="s">
        <v>678</v>
      </c>
      <c r="K114" s="576">
        <v>46271</v>
      </c>
      <c r="L114" s="922">
        <v>46271</v>
      </c>
      <c r="M114" s="902" t="s">
        <v>52</v>
      </c>
      <c r="N114" s="445" t="s">
        <v>2491</v>
      </c>
      <c r="O114" s="445" t="s">
        <v>387</v>
      </c>
      <c r="P114" s="445" t="s">
        <v>29</v>
      </c>
    </row>
    <row r="115" spans="1:16" s="520" customFormat="1" ht="108" x14ac:dyDescent="0.2">
      <c r="A115" s="249" t="s">
        <v>391</v>
      </c>
      <c r="B115" s="248">
        <v>41609</v>
      </c>
      <c r="C115" s="249" t="s">
        <v>834</v>
      </c>
      <c r="D115" s="391" t="s">
        <v>2727</v>
      </c>
      <c r="E115" s="250" t="s">
        <v>392</v>
      </c>
      <c r="F115" s="250" t="s">
        <v>393</v>
      </c>
      <c r="G115" s="250" t="s">
        <v>116</v>
      </c>
      <c r="H115" s="343" t="s">
        <v>2143</v>
      </c>
      <c r="I115" s="252" t="s">
        <v>33</v>
      </c>
      <c r="J115" s="343" t="s">
        <v>678</v>
      </c>
      <c r="K115" s="592">
        <v>46370</v>
      </c>
      <c r="L115" s="422">
        <v>46005</v>
      </c>
      <c r="M115" s="343" t="s">
        <v>47</v>
      </c>
      <c r="N115" s="455">
        <v>200</v>
      </c>
      <c r="O115" s="455">
        <v>200</v>
      </c>
      <c r="P115" s="455" t="s">
        <v>35</v>
      </c>
    </row>
    <row r="116" spans="1:16" s="1" customFormat="1" ht="60" x14ac:dyDescent="0.25">
      <c r="A116" s="183">
        <v>5312</v>
      </c>
      <c r="B116" s="183"/>
      <c r="C116" s="191" t="s">
        <v>837</v>
      </c>
      <c r="D116" s="191" t="s">
        <v>2727</v>
      </c>
      <c r="E116" s="184" t="s">
        <v>158</v>
      </c>
      <c r="F116" s="192" t="s">
        <v>399</v>
      </c>
      <c r="G116" s="192" t="s">
        <v>2569</v>
      </c>
      <c r="H116" s="244" t="s">
        <v>2643</v>
      </c>
      <c r="I116" s="185" t="s">
        <v>71</v>
      </c>
      <c r="J116" s="244" t="s">
        <v>2978</v>
      </c>
      <c r="K116" s="581">
        <v>46387</v>
      </c>
      <c r="L116" s="347" t="s">
        <v>2857</v>
      </c>
      <c r="M116" s="244" t="s">
        <v>52</v>
      </c>
      <c r="N116" s="443">
        <v>50</v>
      </c>
      <c r="O116" s="443">
        <v>50</v>
      </c>
      <c r="P116" s="443"/>
    </row>
    <row r="117" spans="1:16" s="1" customFormat="1" ht="48" x14ac:dyDescent="0.25">
      <c r="A117" s="3">
        <v>5314</v>
      </c>
      <c r="B117" s="21">
        <v>41671</v>
      </c>
      <c r="C117" s="2" t="s">
        <v>838</v>
      </c>
      <c r="D117" s="10" t="s">
        <v>2729</v>
      </c>
      <c r="E117" s="4" t="s">
        <v>400</v>
      </c>
      <c r="F117" s="11" t="s">
        <v>401</v>
      </c>
      <c r="G117" s="4" t="s">
        <v>2322</v>
      </c>
      <c r="H117" s="20" t="s">
        <v>1972</v>
      </c>
      <c r="I117" s="5" t="s">
        <v>33</v>
      </c>
      <c r="J117" s="20" t="s">
        <v>678</v>
      </c>
      <c r="K117" s="576">
        <v>46447</v>
      </c>
      <c r="L117" s="407" t="s">
        <v>2997</v>
      </c>
      <c r="M117" s="20" t="s">
        <v>47</v>
      </c>
      <c r="N117" s="445" t="s">
        <v>1912</v>
      </c>
      <c r="O117" s="445" t="s">
        <v>1912</v>
      </c>
      <c r="P117" s="445" t="s">
        <v>29</v>
      </c>
    </row>
    <row r="118" spans="1:16" s="1" customFormat="1" ht="84" x14ac:dyDescent="0.25">
      <c r="A118" s="183">
        <v>5315</v>
      </c>
      <c r="B118" s="247">
        <v>41730</v>
      </c>
      <c r="C118" s="191" t="s">
        <v>839</v>
      </c>
      <c r="D118" s="191" t="s">
        <v>2727</v>
      </c>
      <c r="E118" s="184" t="s">
        <v>402</v>
      </c>
      <c r="F118" s="184" t="s">
        <v>89</v>
      </c>
      <c r="G118" s="184" t="s">
        <v>2229</v>
      </c>
      <c r="H118" s="244" t="s">
        <v>1739</v>
      </c>
      <c r="I118" s="185" t="s">
        <v>33</v>
      </c>
      <c r="J118" s="658" t="s">
        <v>678</v>
      </c>
      <c r="K118" s="659">
        <v>46463</v>
      </c>
      <c r="L118" s="347" t="s">
        <v>2999</v>
      </c>
      <c r="M118" s="244" t="s">
        <v>47</v>
      </c>
      <c r="N118" s="446" t="s">
        <v>403</v>
      </c>
      <c r="O118" s="446" t="s">
        <v>404</v>
      </c>
      <c r="P118" s="446" t="s">
        <v>29</v>
      </c>
    </row>
    <row r="119" spans="1:16" s="9" customFormat="1" ht="36" x14ac:dyDescent="0.25">
      <c r="A119" s="551">
        <v>5321</v>
      </c>
      <c r="B119" s="550">
        <v>41852</v>
      </c>
      <c r="C119" s="147" t="s">
        <v>840</v>
      </c>
      <c r="D119" s="552" t="s">
        <v>2727</v>
      </c>
      <c r="E119" s="5" t="s">
        <v>405</v>
      </c>
      <c r="F119" s="5" t="s">
        <v>194</v>
      </c>
      <c r="G119" s="20" t="s">
        <v>179</v>
      </c>
      <c r="H119" s="471"/>
      <c r="I119" s="564" t="s">
        <v>39</v>
      </c>
      <c r="J119" s="544" t="s">
        <v>678</v>
      </c>
      <c r="K119" s="601">
        <v>46529</v>
      </c>
      <c r="L119" s="407" t="s">
        <v>3077</v>
      </c>
      <c r="M119" s="20" t="s">
        <v>26</v>
      </c>
      <c r="N119" s="445"/>
      <c r="O119" s="445"/>
      <c r="P119" s="445" t="s">
        <v>29</v>
      </c>
    </row>
    <row r="120" spans="1:16" s="512" customFormat="1" ht="84" x14ac:dyDescent="0.25">
      <c r="A120" s="650">
        <v>5322</v>
      </c>
      <c r="B120" s="651">
        <v>41791</v>
      </c>
      <c r="C120" s="652" t="s">
        <v>841</v>
      </c>
      <c r="D120" s="653" t="s">
        <v>2727</v>
      </c>
      <c r="E120" s="654" t="s">
        <v>406</v>
      </c>
      <c r="F120" s="654" t="s">
        <v>302</v>
      </c>
      <c r="G120" s="655" t="s">
        <v>2290</v>
      </c>
      <c r="H120" s="656" t="s">
        <v>2300</v>
      </c>
      <c r="I120" s="657" t="s">
        <v>33</v>
      </c>
      <c r="J120" s="658" t="s">
        <v>2158</v>
      </c>
      <c r="K120" s="659">
        <v>46418</v>
      </c>
      <c r="L120" s="660" t="s">
        <v>2910</v>
      </c>
      <c r="M120" s="658" t="s">
        <v>454</v>
      </c>
      <c r="N120" s="661" t="s">
        <v>407</v>
      </c>
      <c r="O120" s="661"/>
      <c r="P120" s="661" t="s">
        <v>35</v>
      </c>
    </row>
    <row r="121" spans="1:16" s="32" customFormat="1" ht="60" x14ac:dyDescent="0.2">
      <c r="A121" s="2" t="s">
        <v>408</v>
      </c>
      <c r="B121" s="21">
        <v>41821</v>
      </c>
      <c r="C121" s="2" t="s">
        <v>842</v>
      </c>
      <c r="D121" s="10" t="s">
        <v>2725</v>
      </c>
      <c r="E121" s="4" t="s">
        <v>409</v>
      </c>
      <c r="F121" s="4" t="s">
        <v>410</v>
      </c>
      <c r="G121" s="11" t="s">
        <v>116</v>
      </c>
      <c r="H121" s="20" t="s">
        <v>2483</v>
      </c>
      <c r="I121" s="5" t="s">
        <v>33</v>
      </c>
      <c r="J121" s="20" t="s">
        <v>2158</v>
      </c>
      <c r="K121" s="601">
        <v>46463</v>
      </c>
      <c r="L121" s="407" t="s">
        <v>2999</v>
      </c>
      <c r="M121" s="20" t="s">
        <v>26</v>
      </c>
      <c r="N121" s="445" t="s">
        <v>2172</v>
      </c>
      <c r="O121" s="445" t="s">
        <v>2173</v>
      </c>
      <c r="P121" s="445" t="s">
        <v>35</v>
      </c>
    </row>
    <row r="122" spans="1:16" s="663" customFormat="1" ht="84" x14ac:dyDescent="0.2">
      <c r="A122" s="652" t="s">
        <v>411</v>
      </c>
      <c r="B122" s="651">
        <v>41791</v>
      </c>
      <c r="C122" s="652" t="s">
        <v>843</v>
      </c>
      <c r="D122" s="653" t="s">
        <v>2725</v>
      </c>
      <c r="E122" s="654" t="s">
        <v>412</v>
      </c>
      <c r="F122" s="654" t="s">
        <v>413</v>
      </c>
      <c r="G122" s="654" t="s">
        <v>84</v>
      </c>
      <c r="H122" s="656" t="s">
        <v>2961</v>
      </c>
      <c r="I122" s="657" t="s">
        <v>33</v>
      </c>
      <c r="J122" s="656" t="s">
        <v>46</v>
      </c>
      <c r="K122" s="662">
        <v>46234</v>
      </c>
      <c r="L122" s="660" t="s">
        <v>3163</v>
      </c>
      <c r="M122" s="658" t="s">
        <v>26</v>
      </c>
      <c r="N122" s="661" t="s">
        <v>414</v>
      </c>
      <c r="O122" s="661" t="s">
        <v>415</v>
      </c>
      <c r="P122" s="661" t="s">
        <v>416</v>
      </c>
    </row>
    <row r="123" spans="1:16" s="512" customFormat="1" ht="36" x14ac:dyDescent="0.25">
      <c r="A123" s="650">
        <v>5326</v>
      </c>
      <c r="B123" s="651"/>
      <c r="C123" s="652" t="s">
        <v>845</v>
      </c>
      <c r="D123" s="653" t="s">
        <v>2727</v>
      </c>
      <c r="E123" s="654" t="s">
        <v>261</v>
      </c>
      <c r="F123" s="654" t="s">
        <v>419</v>
      </c>
      <c r="G123" s="654" t="s">
        <v>1909</v>
      </c>
      <c r="H123" s="664"/>
      <c r="I123" s="657" t="s">
        <v>420</v>
      </c>
      <c r="J123" s="656" t="s">
        <v>2158</v>
      </c>
      <c r="K123" s="818">
        <v>46478</v>
      </c>
      <c r="L123" s="660" t="s">
        <v>3025</v>
      </c>
      <c r="M123" s="658" t="s">
        <v>47</v>
      </c>
      <c r="N123" s="661"/>
      <c r="O123" s="661"/>
      <c r="P123" s="661"/>
    </row>
    <row r="124" spans="1:16" ht="48" x14ac:dyDescent="0.25">
      <c r="A124" s="535">
        <v>5327</v>
      </c>
      <c r="B124" s="21">
        <v>41883</v>
      </c>
      <c r="C124" s="2" t="s">
        <v>846</v>
      </c>
      <c r="D124" s="10" t="s">
        <v>2730</v>
      </c>
      <c r="E124" s="4" t="s">
        <v>421</v>
      </c>
      <c r="F124" s="4" t="s">
        <v>422</v>
      </c>
      <c r="G124" s="4" t="s">
        <v>116</v>
      </c>
      <c r="H124" s="20" t="s">
        <v>2484</v>
      </c>
      <c r="I124" s="5" t="s">
        <v>420</v>
      </c>
      <c r="J124" s="20" t="s">
        <v>678</v>
      </c>
      <c r="K124" s="576">
        <v>46246</v>
      </c>
      <c r="L124" s="565" t="s">
        <v>3192</v>
      </c>
      <c r="M124" s="544" t="s">
        <v>47</v>
      </c>
      <c r="N124" s="445"/>
      <c r="O124" s="445"/>
      <c r="P124" s="445" t="s">
        <v>29</v>
      </c>
    </row>
    <row r="125" spans="1:16" ht="48" x14ac:dyDescent="0.25">
      <c r="A125" s="183">
        <v>5328</v>
      </c>
      <c r="B125" s="247">
        <v>41883</v>
      </c>
      <c r="C125" s="181" t="s">
        <v>847</v>
      </c>
      <c r="D125" s="191" t="s">
        <v>2730</v>
      </c>
      <c r="E125" s="184" t="s">
        <v>421</v>
      </c>
      <c r="F125" s="184" t="s">
        <v>423</v>
      </c>
      <c r="G125" s="184" t="s">
        <v>116</v>
      </c>
      <c r="H125" s="244" t="s">
        <v>2485</v>
      </c>
      <c r="I125" s="185" t="s">
        <v>420</v>
      </c>
      <c r="J125" s="244" t="s">
        <v>678</v>
      </c>
      <c r="K125" s="581">
        <v>46246</v>
      </c>
      <c r="L125" s="660" t="s">
        <v>3192</v>
      </c>
      <c r="M125" s="658" t="s">
        <v>47</v>
      </c>
      <c r="N125" s="446"/>
      <c r="O125" s="446"/>
      <c r="P125" s="446"/>
    </row>
    <row r="126" spans="1:16" s="9" customFormat="1" ht="48" x14ac:dyDescent="0.25">
      <c r="A126" s="183">
        <v>5335</v>
      </c>
      <c r="B126" s="247">
        <v>41913</v>
      </c>
      <c r="C126" s="181" t="s">
        <v>849</v>
      </c>
      <c r="D126" s="191" t="s">
        <v>2727</v>
      </c>
      <c r="E126" s="184" t="s">
        <v>426</v>
      </c>
      <c r="F126" s="184" t="s">
        <v>62</v>
      </c>
      <c r="G126" s="192" t="s">
        <v>2444</v>
      </c>
      <c r="H126" s="472" t="s">
        <v>1978</v>
      </c>
      <c r="I126" s="185" t="s">
        <v>39</v>
      </c>
      <c r="J126" s="244" t="s">
        <v>678</v>
      </c>
      <c r="K126" s="581">
        <v>46387</v>
      </c>
      <c r="L126" s="347" t="s">
        <v>2857</v>
      </c>
      <c r="M126" s="244" t="s">
        <v>47</v>
      </c>
      <c r="N126" s="446"/>
      <c r="O126" s="446"/>
      <c r="P126" s="446"/>
    </row>
    <row r="127" spans="1:16" s="1" customFormat="1" ht="72" x14ac:dyDescent="0.25">
      <c r="A127" s="3">
        <v>5336</v>
      </c>
      <c r="B127" s="21">
        <v>42036</v>
      </c>
      <c r="C127" s="2" t="s">
        <v>850</v>
      </c>
      <c r="D127" s="10" t="s">
        <v>2732</v>
      </c>
      <c r="E127" s="4" t="s">
        <v>427</v>
      </c>
      <c r="F127" s="4" t="s">
        <v>428</v>
      </c>
      <c r="G127" s="4" t="s">
        <v>2041</v>
      </c>
      <c r="H127" s="20" t="s">
        <v>2645</v>
      </c>
      <c r="I127" s="5"/>
      <c r="J127" s="20" t="s">
        <v>46</v>
      </c>
      <c r="K127" s="601">
        <v>46464</v>
      </c>
      <c r="L127" s="407" t="s">
        <v>3013</v>
      </c>
      <c r="M127" s="20" t="s">
        <v>26</v>
      </c>
      <c r="N127" s="445" t="s">
        <v>2578</v>
      </c>
      <c r="O127" s="445">
        <v>0</v>
      </c>
      <c r="P127" s="445"/>
    </row>
    <row r="128" spans="1:16" s="501" customFormat="1" ht="60" x14ac:dyDescent="0.25">
      <c r="A128" s="183">
        <v>5337</v>
      </c>
      <c r="B128" s="247">
        <v>42036</v>
      </c>
      <c r="C128" s="181" t="s">
        <v>851</v>
      </c>
      <c r="D128" s="191" t="s">
        <v>2732</v>
      </c>
      <c r="E128" s="184" t="s">
        <v>427</v>
      </c>
      <c r="F128" s="184" t="s">
        <v>430</v>
      </c>
      <c r="G128" s="184" t="s">
        <v>2041</v>
      </c>
      <c r="H128" s="244" t="s">
        <v>2646</v>
      </c>
      <c r="I128" s="185"/>
      <c r="J128" s="244" t="s">
        <v>46</v>
      </c>
      <c r="K128" s="662">
        <v>46464</v>
      </c>
      <c r="L128" s="347" t="s">
        <v>3013</v>
      </c>
      <c r="M128" s="244" t="s">
        <v>26</v>
      </c>
      <c r="N128" s="446" t="s">
        <v>2578</v>
      </c>
      <c r="O128" s="446">
        <v>0</v>
      </c>
      <c r="P128" s="446" t="s">
        <v>35</v>
      </c>
    </row>
    <row r="129" spans="1:16" s="32" customFormat="1" ht="132" x14ac:dyDescent="0.2">
      <c r="A129" s="242" t="s">
        <v>431</v>
      </c>
      <c r="B129" s="257">
        <v>41974</v>
      </c>
      <c r="C129" s="242" t="s">
        <v>2263</v>
      </c>
      <c r="D129" s="208" t="s">
        <v>2725</v>
      </c>
      <c r="E129" s="209" t="s">
        <v>432</v>
      </c>
      <c r="F129" s="209" t="s">
        <v>210</v>
      </c>
      <c r="G129" s="209" t="s">
        <v>84</v>
      </c>
      <c r="H129" s="281" t="s">
        <v>2264</v>
      </c>
      <c r="I129" s="211" t="s">
        <v>33</v>
      </c>
      <c r="J129" s="281" t="s">
        <v>678</v>
      </c>
      <c r="K129" s="584">
        <v>46366</v>
      </c>
      <c r="L129" s="413" t="s">
        <v>2841</v>
      </c>
      <c r="M129" s="281" t="s">
        <v>26</v>
      </c>
      <c r="N129" s="452" t="s">
        <v>433</v>
      </c>
      <c r="O129" s="452">
        <v>0</v>
      </c>
      <c r="P129" s="452" t="s">
        <v>416</v>
      </c>
    </row>
    <row r="130" spans="1:16" s="1" customFormat="1" ht="60" x14ac:dyDescent="0.25">
      <c r="A130" s="183">
        <v>5344</v>
      </c>
      <c r="B130" s="247">
        <v>42064</v>
      </c>
      <c r="C130" s="181" t="s">
        <v>852</v>
      </c>
      <c r="D130" s="191" t="s">
        <v>2727</v>
      </c>
      <c r="E130" s="184" t="s">
        <v>434</v>
      </c>
      <c r="F130" s="184" t="s">
        <v>288</v>
      </c>
      <c r="G130" s="205" t="s">
        <v>2569</v>
      </c>
      <c r="H130" s="244" t="s">
        <v>2407</v>
      </c>
      <c r="I130" s="185" t="s">
        <v>435</v>
      </c>
      <c r="J130" s="244" t="s">
        <v>2978</v>
      </c>
      <c r="K130" s="581">
        <v>46387</v>
      </c>
      <c r="L130" s="302" t="s">
        <v>2857</v>
      </c>
      <c r="M130" s="244" t="s">
        <v>26</v>
      </c>
      <c r="N130" s="446"/>
      <c r="O130" s="446"/>
      <c r="P130" s="446"/>
    </row>
    <row r="131" spans="1:16" s="9" customFormat="1" ht="60" x14ac:dyDescent="0.25">
      <c r="A131" s="3">
        <v>5345</v>
      </c>
      <c r="B131" s="21">
        <v>42064</v>
      </c>
      <c r="C131" s="2" t="s">
        <v>853</v>
      </c>
      <c r="D131" s="10" t="s">
        <v>2727</v>
      </c>
      <c r="E131" s="4" t="s">
        <v>434</v>
      </c>
      <c r="F131" s="4" t="s">
        <v>332</v>
      </c>
      <c r="G131" s="210" t="s">
        <v>2569</v>
      </c>
      <c r="H131" s="20" t="s">
        <v>2407</v>
      </c>
      <c r="I131" s="5" t="s">
        <v>64</v>
      </c>
      <c r="J131" s="20" t="s">
        <v>2978</v>
      </c>
      <c r="K131" s="576">
        <v>46387</v>
      </c>
      <c r="L131" s="410" t="s">
        <v>2857</v>
      </c>
      <c r="M131" s="20" t="s">
        <v>26</v>
      </c>
      <c r="N131" s="445"/>
      <c r="O131" s="445"/>
      <c r="P131" s="445"/>
    </row>
    <row r="132" spans="1:16" s="767" customFormat="1" ht="60" x14ac:dyDescent="0.25">
      <c r="A132" s="758">
        <v>5350</v>
      </c>
      <c r="B132" s="759">
        <v>42125</v>
      </c>
      <c r="C132" s="760" t="s">
        <v>856</v>
      </c>
      <c r="D132" s="761" t="s">
        <v>2727</v>
      </c>
      <c r="E132" s="762" t="s">
        <v>442</v>
      </c>
      <c r="F132" s="762" t="s">
        <v>298</v>
      </c>
      <c r="G132" s="763" t="s">
        <v>2444</v>
      </c>
      <c r="H132" s="658" t="s">
        <v>1991</v>
      </c>
      <c r="I132" s="764" t="s">
        <v>39</v>
      </c>
      <c r="J132" s="658" t="s">
        <v>678</v>
      </c>
      <c r="K132" s="659">
        <v>46203</v>
      </c>
      <c r="L132" s="765" t="s">
        <v>3122</v>
      </c>
      <c r="M132" s="658" t="s">
        <v>26</v>
      </c>
      <c r="N132" s="766"/>
      <c r="O132" s="766"/>
      <c r="P132" s="766"/>
    </row>
    <row r="133" spans="1:16" s="767" customFormat="1" ht="144" x14ac:dyDescent="0.25">
      <c r="A133" s="665">
        <v>5353</v>
      </c>
      <c r="B133" s="666">
        <v>42186</v>
      </c>
      <c r="C133" s="667" t="s">
        <v>857</v>
      </c>
      <c r="D133" s="668" t="s">
        <v>2726</v>
      </c>
      <c r="E133" s="669" t="s">
        <v>443</v>
      </c>
      <c r="F133" s="670" t="s">
        <v>444</v>
      </c>
      <c r="G133" s="669" t="s">
        <v>90</v>
      </c>
      <c r="H133" s="671" t="s">
        <v>2593</v>
      </c>
      <c r="I133" s="672" t="s">
        <v>33</v>
      </c>
      <c r="J133" s="930" t="s">
        <v>46</v>
      </c>
      <c r="K133" s="931">
        <v>46555</v>
      </c>
      <c r="L133" s="674" t="s">
        <v>3123</v>
      </c>
      <c r="M133" s="671" t="s">
        <v>26</v>
      </c>
      <c r="N133" s="675">
        <v>250</v>
      </c>
      <c r="O133" s="675"/>
      <c r="P133" s="675"/>
    </row>
    <row r="134" spans="1:16" s="32" customFormat="1" ht="84" x14ac:dyDescent="0.2">
      <c r="A134" s="2" t="s">
        <v>445</v>
      </c>
      <c r="B134" s="21">
        <v>42217</v>
      </c>
      <c r="C134" s="616" t="s">
        <v>858</v>
      </c>
      <c r="D134" s="10" t="s">
        <v>2726</v>
      </c>
      <c r="E134" s="4" t="s">
        <v>446</v>
      </c>
      <c r="F134" s="11" t="s">
        <v>210</v>
      </c>
      <c r="G134" s="4" t="s">
        <v>189</v>
      </c>
      <c r="H134" s="538" t="s">
        <v>3185</v>
      </c>
      <c r="I134" s="5" t="s">
        <v>33</v>
      </c>
      <c r="J134" s="20" t="s">
        <v>678</v>
      </c>
      <c r="K134" s="601">
        <v>46212</v>
      </c>
      <c r="L134" s="545" t="s">
        <v>3169</v>
      </c>
      <c r="M134" s="544" t="s">
        <v>26</v>
      </c>
      <c r="N134" s="445">
        <v>150</v>
      </c>
      <c r="O134" s="445">
        <v>150</v>
      </c>
      <c r="P134" s="445"/>
    </row>
    <row r="135" spans="1:16" s="1" customFormat="1" ht="72" x14ac:dyDescent="0.25">
      <c r="A135" s="183">
        <v>5362</v>
      </c>
      <c r="B135" s="247">
        <v>42248</v>
      </c>
      <c r="C135" s="191" t="s">
        <v>861</v>
      </c>
      <c r="D135" s="191" t="s">
        <v>2727</v>
      </c>
      <c r="E135" s="184" t="s">
        <v>453</v>
      </c>
      <c r="F135" s="192" t="s">
        <v>250</v>
      </c>
      <c r="G135" s="192" t="s">
        <v>2118</v>
      </c>
      <c r="H135" s="244" t="s">
        <v>2965</v>
      </c>
      <c r="I135" s="185" t="s">
        <v>33</v>
      </c>
      <c r="J135" s="244" t="s">
        <v>2158</v>
      </c>
      <c r="K135" s="581">
        <v>46387</v>
      </c>
      <c r="L135" s="302" t="s">
        <v>2857</v>
      </c>
      <c r="M135" s="244" t="s">
        <v>52</v>
      </c>
      <c r="N135" s="446">
        <v>200</v>
      </c>
      <c r="O135" s="446"/>
      <c r="P135" s="446"/>
    </row>
    <row r="136" spans="1:16" s="1" customFormat="1" ht="72" x14ac:dyDescent="0.25">
      <c r="A136" s="3">
        <v>5363</v>
      </c>
      <c r="B136" s="21">
        <v>42248</v>
      </c>
      <c r="C136" s="2" t="s">
        <v>862</v>
      </c>
      <c r="D136" s="10" t="s">
        <v>2727</v>
      </c>
      <c r="E136" s="4" t="s">
        <v>455</v>
      </c>
      <c r="F136" s="11" t="s">
        <v>456</v>
      </c>
      <c r="G136" s="4" t="s">
        <v>1846</v>
      </c>
      <c r="H136" s="20" t="s">
        <v>2829</v>
      </c>
      <c r="I136" s="5" t="s">
        <v>33</v>
      </c>
      <c r="J136" s="20" t="s">
        <v>2158</v>
      </c>
      <c r="K136" s="926">
        <v>46538</v>
      </c>
      <c r="L136" s="410" t="s">
        <v>3073</v>
      </c>
      <c r="M136" s="20" t="s">
        <v>26</v>
      </c>
      <c r="N136" s="445" t="s">
        <v>457</v>
      </c>
      <c r="O136" s="445" t="s">
        <v>457</v>
      </c>
      <c r="P136" s="445"/>
    </row>
    <row r="137" spans="1:16" s="567" customFormat="1" ht="108" x14ac:dyDescent="0.25">
      <c r="A137" s="274">
        <v>5365</v>
      </c>
      <c r="B137" s="275">
        <v>42309</v>
      </c>
      <c r="C137" s="276" t="s">
        <v>863</v>
      </c>
      <c r="D137" s="390" t="s">
        <v>2752</v>
      </c>
      <c r="E137" s="277" t="s">
        <v>458</v>
      </c>
      <c r="F137" s="278" t="s">
        <v>459</v>
      </c>
      <c r="G137" s="278" t="s">
        <v>2570</v>
      </c>
      <c r="H137" s="279" t="s">
        <v>2493</v>
      </c>
      <c r="I137" s="280" t="s">
        <v>33</v>
      </c>
      <c r="J137" s="279" t="s">
        <v>2158</v>
      </c>
      <c r="K137" s="577">
        <v>46300</v>
      </c>
      <c r="L137" s="423">
        <v>45935</v>
      </c>
      <c r="M137" s="279" t="s">
        <v>47</v>
      </c>
      <c r="N137" s="457" t="s">
        <v>461</v>
      </c>
      <c r="O137" s="457" t="s">
        <v>462</v>
      </c>
      <c r="P137" s="457"/>
    </row>
    <row r="138" spans="1:16" s="1" customFormat="1" ht="84" x14ac:dyDescent="0.25">
      <c r="A138" s="3">
        <v>5367</v>
      </c>
      <c r="B138" s="21">
        <v>42370</v>
      </c>
      <c r="C138" s="2" t="s">
        <v>864</v>
      </c>
      <c r="D138" s="10" t="s">
        <v>2726</v>
      </c>
      <c r="E138" s="4" t="s">
        <v>463</v>
      </c>
      <c r="F138" s="11" t="s">
        <v>464</v>
      </c>
      <c r="G138" s="11" t="s">
        <v>2323</v>
      </c>
      <c r="H138" s="20" t="s">
        <v>2266</v>
      </c>
      <c r="I138" s="5" t="s">
        <v>60</v>
      </c>
      <c r="J138" s="20" t="s">
        <v>678</v>
      </c>
      <c r="K138" s="601">
        <v>46446</v>
      </c>
      <c r="L138" s="545" t="s">
        <v>2857</v>
      </c>
      <c r="M138" s="544" t="s">
        <v>52</v>
      </c>
      <c r="N138" s="566">
        <v>250</v>
      </c>
      <c r="O138" s="566">
        <v>250</v>
      </c>
      <c r="P138" s="445"/>
    </row>
    <row r="139" spans="1:16" s="1" customFormat="1" ht="120" x14ac:dyDescent="0.25">
      <c r="A139" s="3">
        <v>5368</v>
      </c>
      <c r="B139" s="21">
        <v>42370</v>
      </c>
      <c r="C139" s="2" t="s">
        <v>2308</v>
      </c>
      <c r="D139" s="11" t="s">
        <v>2726</v>
      </c>
      <c r="E139" s="4" t="s">
        <v>465</v>
      </c>
      <c r="F139" s="11" t="s">
        <v>466</v>
      </c>
      <c r="G139" s="4" t="s">
        <v>2501</v>
      </c>
      <c r="H139" s="20" t="s">
        <v>1866</v>
      </c>
      <c r="I139" s="5" t="s">
        <v>33</v>
      </c>
      <c r="J139" s="20" t="s">
        <v>46</v>
      </c>
      <c r="K139" s="601">
        <v>46205</v>
      </c>
      <c r="L139" s="545" t="s">
        <v>3172</v>
      </c>
      <c r="M139" s="544" t="s">
        <v>26</v>
      </c>
      <c r="N139" s="566">
        <v>100</v>
      </c>
      <c r="O139" s="566">
        <v>100</v>
      </c>
      <c r="P139" s="445"/>
    </row>
    <row r="140" spans="1:16" s="32" customFormat="1" ht="49.5" customHeight="1" x14ac:dyDescent="0.2">
      <c r="A140" s="2" t="s">
        <v>467</v>
      </c>
      <c r="B140" s="21">
        <v>42370</v>
      </c>
      <c r="C140" s="2" t="s">
        <v>865</v>
      </c>
      <c r="D140" s="10" t="s">
        <v>2727</v>
      </c>
      <c r="E140" s="4" t="s">
        <v>468</v>
      </c>
      <c r="F140" s="11" t="s">
        <v>469</v>
      </c>
      <c r="G140" s="4" t="s">
        <v>2041</v>
      </c>
      <c r="H140" s="20" t="s">
        <v>2267</v>
      </c>
      <c r="I140" s="5" t="s">
        <v>33</v>
      </c>
      <c r="J140" s="20" t="s">
        <v>2158</v>
      </c>
      <c r="K140" s="576">
        <v>46363</v>
      </c>
      <c r="L140" s="410" t="s">
        <v>2884</v>
      </c>
      <c r="M140" s="20" t="s">
        <v>52</v>
      </c>
      <c r="N140" s="445">
        <v>250</v>
      </c>
      <c r="O140" s="445">
        <v>0</v>
      </c>
      <c r="P140" s="445"/>
    </row>
    <row r="141" spans="1:16" s="663" customFormat="1" ht="96" x14ac:dyDescent="0.2">
      <c r="A141" s="749" t="s">
        <v>470</v>
      </c>
      <c r="B141" s="750">
        <v>42370</v>
      </c>
      <c r="C141" s="749" t="s">
        <v>866</v>
      </c>
      <c r="D141" s="751" t="s">
        <v>2746</v>
      </c>
      <c r="E141" s="752" t="s">
        <v>471</v>
      </c>
      <c r="F141" s="510" t="s">
        <v>472</v>
      </c>
      <c r="G141" s="752" t="s">
        <v>2548</v>
      </c>
      <c r="H141" s="753" t="s">
        <v>3033</v>
      </c>
      <c r="I141" s="754" t="s">
        <v>33</v>
      </c>
      <c r="J141" s="753" t="s">
        <v>678</v>
      </c>
      <c r="K141" s="755">
        <v>46371</v>
      </c>
      <c r="L141" s="756" t="s">
        <v>2866</v>
      </c>
      <c r="M141" s="753" t="s">
        <v>47</v>
      </c>
      <c r="N141" s="757" t="s">
        <v>1773</v>
      </c>
      <c r="O141" s="757" t="s">
        <v>1773</v>
      </c>
      <c r="P141" s="757"/>
    </row>
    <row r="142" spans="1:16" ht="60" x14ac:dyDescent="0.25">
      <c r="A142" s="2">
        <v>5374</v>
      </c>
      <c r="B142" s="21">
        <v>42461</v>
      </c>
      <c r="C142" s="2" t="s">
        <v>867</v>
      </c>
      <c r="D142" s="10" t="s">
        <v>2727</v>
      </c>
      <c r="E142" s="4" t="s">
        <v>473</v>
      </c>
      <c r="F142" s="11" t="s">
        <v>160</v>
      </c>
      <c r="G142" s="563" t="s">
        <v>3215</v>
      </c>
      <c r="H142" s="349" t="s">
        <v>1973</v>
      </c>
      <c r="I142" s="5" t="s">
        <v>33</v>
      </c>
      <c r="J142" s="20" t="s">
        <v>2158</v>
      </c>
      <c r="K142" s="576">
        <v>46204</v>
      </c>
      <c r="L142" s="545" t="s">
        <v>3132</v>
      </c>
      <c r="M142" s="544" t="s">
        <v>47</v>
      </c>
      <c r="N142" s="566"/>
      <c r="O142" s="445"/>
      <c r="P142" s="445" t="s">
        <v>416</v>
      </c>
    </row>
    <row r="143" spans="1:16" ht="108" x14ac:dyDescent="0.25">
      <c r="A143" s="276">
        <v>5375</v>
      </c>
      <c r="B143" s="275">
        <v>42491</v>
      </c>
      <c r="C143" s="276" t="s">
        <v>868</v>
      </c>
      <c r="D143" s="392" t="s">
        <v>2730</v>
      </c>
      <c r="E143" s="277" t="s">
        <v>474</v>
      </c>
      <c r="F143" s="278" t="s">
        <v>475</v>
      </c>
      <c r="G143" s="277" t="s">
        <v>144</v>
      </c>
      <c r="H143" s="279" t="s">
        <v>2689</v>
      </c>
      <c r="I143" s="280" t="s">
        <v>60</v>
      </c>
      <c r="J143" s="279" t="s">
        <v>678</v>
      </c>
      <c r="K143" s="755">
        <v>46502</v>
      </c>
      <c r="L143" s="423" t="s">
        <v>3046</v>
      </c>
      <c r="M143" s="279" t="s">
        <v>52</v>
      </c>
      <c r="N143" s="457">
        <v>150</v>
      </c>
      <c r="O143" s="457">
        <v>150</v>
      </c>
      <c r="P143" s="457" t="s">
        <v>416</v>
      </c>
    </row>
    <row r="144" spans="1:16" s="520" customFormat="1" ht="96" x14ac:dyDescent="0.2">
      <c r="A144" s="717" t="s">
        <v>476</v>
      </c>
      <c r="B144" s="748">
        <v>42583</v>
      </c>
      <c r="C144" s="717" t="s">
        <v>869</v>
      </c>
      <c r="D144" s="524" t="s">
        <v>2727</v>
      </c>
      <c r="E144" s="484" t="s">
        <v>477</v>
      </c>
      <c r="F144" s="485" t="s">
        <v>478</v>
      </c>
      <c r="G144" s="484" t="s">
        <v>131</v>
      </c>
      <c r="H144" s="718" t="s">
        <v>2268</v>
      </c>
      <c r="I144" s="719" t="s">
        <v>60</v>
      </c>
      <c r="J144" s="930" t="s">
        <v>429</v>
      </c>
      <c r="K144" s="931">
        <v>46559</v>
      </c>
      <c r="L144" s="721" t="s">
        <v>3118</v>
      </c>
      <c r="M144" s="718" t="s">
        <v>52</v>
      </c>
      <c r="N144" s="733" t="s">
        <v>479</v>
      </c>
      <c r="O144" s="733" t="s">
        <v>479</v>
      </c>
      <c r="P144" s="733"/>
    </row>
    <row r="145" spans="1:16" s="32" customFormat="1" ht="120" x14ac:dyDescent="0.2">
      <c r="A145" s="2" t="s">
        <v>1953</v>
      </c>
      <c r="B145" s="21">
        <v>42614</v>
      </c>
      <c r="C145" s="2" t="s">
        <v>871</v>
      </c>
      <c r="D145" s="10" t="s">
        <v>2725</v>
      </c>
      <c r="E145" s="4" t="s">
        <v>483</v>
      </c>
      <c r="F145" s="11" t="s">
        <v>359</v>
      </c>
      <c r="G145" s="563" t="s">
        <v>44</v>
      </c>
      <c r="H145" s="544" t="s">
        <v>3182</v>
      </c>
      <c r="I145" s="5" t="s">
        <v>33</v>
      </c>
      <c r="J145" s="20" t="s">
        <v>678</v>
      </c>
      <c r="K145" s="576">
        <v>46387</v>
      </c>
      <c r="L145" s="410" t="s">
        <v>2857</v>
      </c>
      <c r="M145" s="20" t="s">
        <v>52</v>
      </c>
      <c r="N145" s="445">
        <v>100</v>
      </c>
      <c r="O145" s="445"/>
      <c r="P145" s="445" t="s">
        <v>482</v>
      </c>
    </row>
    <row r="146" spans="1:16" s="546" customFormat="1" ht="156" x14ac:dyDescent="0.25">
      <c r="A146" s="276" t="s">
        <v>484</v>
      </c>
      <c r="B146" s="275">
        <v>42583</v>
      </c>
      <c r="C146" s="276" t="s">
        <v>872</v>
      </c>
      <c r="D146" s="278" t="s">
        <v>2727</v>
      </c>
      <c r="E146" s="277" t="s">
        <v>485</v>
      </c>
      <c r="F146" s="278" t="s">
        <v>486</v>
      </c>
      <c r="G146" s="277" t="s">
        <v>116</v>
      </c>
      <c r="H146" s="364" t="s">
        <v>2486</v>
      </c>
      <c r="I146" s="280" t="s">
        <v>60</v>
      </c>
      <c r="J146" s="279" t="s">
        <v>678</v>
      </c>
      <c r="K146" s="577">
        <v>46326</v>
      </c>
      <c r="L146" s="423">
        <v>45961</v>
      </c>
      <c r="M146" s="279" t="s">
        <v>47</v>
      </c>
      <c r="N146" s="457" t="s">
        <v>487</v>
      </c>
      <c r="O146" s="457" t="s">
        <v>488</v>
      </c>
      <c r="P146" s="457"/>
    </row>
    <row r="147" spans="1:16" ht="96" x14ac:dyDescent="0.25">
      <c r="A147" s="553">
        <v>5381</v>
      </c>
      <c r="B147" s="554">
        <v>42583</v>
      </c>
      <c r="C147" s="281" t="s">
        <v>873</v>
      </c>
      <c r="D147" s="555" t="s">
        <v>2727</v>
      </c>
      <c r="E147" s="211"/>
      <c r="F147" s="281"/>
      <c r="G147" s="281" t="s">
        <v>2832</v>
      </c>
      <c r="H147" s="281" t="s">
        <v>2685</v>
      </c>
      <c r="I147" s="719" t="s">
        <v>60</v>
      </c>
      <c r="J147" s="718" t="s">
        <v>678</v>
      </c>
      <c r="K147" s="720">
        <v>46473</v>
      </c>
      <c r="L147" s="721" t="s">
        <v>3007</v>
      </c>
      <c r="M147" s="281" t="s">
        <v>52</v>
      </c>
      <c r="N147" s="452"/>
      <c r="O147" s="452"/>
      <c r="P147" s="452"/>
    </row>
    <row r="148" spans="1:16" ht="125.25" customHeight="1" x14ac:dyDescent="0.25">
      <c r="A148" s="283">
        <v>5383</v>
      </c>
      <c r="B148" s="284">
        <v>42552</v>
      </c>
      <c r="C148" s="285" t="s">
        <v>493</v>
      </c>
      <c r="D148" s="287" t="s">
        <v>2725</v>
      </c>
      <c r="E148" s="286"/>
      <c r="F148" s="287"/>
      <c r="G148" s="287" t="s">
        <v>2570</v>
      </c>
      <c r="H148" s="288"/>
      <c r="I148" s="289"/>
      <c r="J148" s="288" t="s">
        <v>2220</v>
      </c>
      <c r="K148" s="594">
        <v>46300</v>
      </c>
      <c r="L148" s="386"/>
      <c r="M148" s="288"/>
      <c r="N148" s="387"/>
      <c r="O148" s="387"/>
      <c r="P148" s="387"/>
    </row>
    <row r="149" spans="1:16" s="32" customFormat="1" ht="336" x14ac:dyDescent="0.2">
      <c r="A149" s="181" t="s">
        <v>2878</v>
      </c>
      <c r="B149" s="247">
        <v>42705</v>
      </c>
      <c r="C149" s="181" t="s">
        <v>874</v>
      </c>
      <c r="D149" s="191" t="s">
        <v>2726</v>
      </c>
      <c r="E149" s="184" t="s">
        <v>494</v>
      </c>
      <c r="F149" s="192" t="s">
        <v>495</v>
      </c>
      <c r="G149" s="184" t="s">
        <v>1909</v>
      </c>
      <c r="H149" s="244" t="s">
        <v>2150</v>
      </c>
      <c r="I149" s="185" t="s">
        <v>33</v>
      </c>
      <c r="J149" s="244" t="s">
        <v>678</v>
      </c>
      <c r="K149" s="581">
        <v>46432</v>
      </c>
      <c r="L149" s="302" t="s">
        <v>2934</v>
      </c>
      <c r="M149" s="244" t="s">
        <v>47</v>
      </c>
      <c r="N149" s="446"/>
      <c r="O149" s="446"/>
      <c r="P149" s="446"/>
    </row>
    <row r="150" spans="1:16" ht="120" x14ac:dyDescent="0.25">
      <c r="A150" s="207">
        <v>5386</v>
      </c>
      <c r="B150" s="257">
        <v>42736</v>
      </c>
      <c r="C150" s="242" t="s">
        <v>875</v>
      </c>
      <c r="D150" s="208" t="s">
        <v>2731</v>
      </c>
      <c r="E150" s="209" t="s">
        <v>496</v>
      </c>
      <c r="F150" s="210">
        <v>424</v>
      </c>
      <c r="G150" s="209" t="s">
        <v>131</v>
      </c>
      <c r="H150" s="281" t="s">
        <v>1868</v>
      </c>
      <c r="I150" s="211" t="s">
        <v>33</v>
      </c>
      <c r="J150" s="281" t="s">
        <v>46</v>
      </c>
      <c r="K150" s="584">
        <v>46357</v>
      </c>
      <c r="L150" s="413" t="s">
        <v>2803</v>
      </c>
      <c r="M150" s="281" t="s">
        <v>47</v>
      </c>
      <c r="N150" s="452">
        <v>200</v>
      </c>
      <c r="O150" s="452">
        <v>0</v>
      </c>
      <c r="P150" s="452"/>
    </row>
    <row r="151" spans="1:16" s="512" customFormat="1" ht="96" x14ac:dyDescent="0.25">
      <c r="A151" s="665">
        <v>5387</v>
      </c>
      <c r="B151" s="666"/>
      <c r="C151" s="667" t="s">
        <v>876</v>
      </c>
      <c r="D151" s="668" t="s">
        <v>2725</v>
      </c>
      <c r="E151" s="669" t="s">
        <v>497</v>
      </c>
      <c r="F151" s="670">
        <v>20</v>
      </c>
      <c r="G151" s="670" t="s">
        <v>2951</v>
      </c>
      <c r="H151" s="671"/>
      <c r="I151" s="672" t="s">
        <v>498</v>
      </c>
      <c r="J151" s="671" t="s">
        <v>678</v>
      </c>
      <c r="K151" s="673">
        <v>46475</v>
      </c>
      <c r="L151" s="674" t="s">
        <v>3020</v>
      </c>
      <c r="M151" s="671" t="s">
        <v>26</v>
      </c>
      <c r="N151" s="675"/>
      <c r="O151" s="675"/>
      <c r="P151" s="675"/>
    </row>
    <row r="152" spans="1:16" s="32" customFormat="1" ht="96" x14ac:dyDescent="0.2">
      <c r="A152" s="2" t="s">
        <v>2337</v>
      </c>
      <c r="B152" s="21">
        <v>42705</v>
      </c>
      <c r="C152" s="2" t="s">
        <v>877</v>
      </c>
      <c r="D152" s="10" t="s">
        <v>2725</v>
      </c>
      <c r="E152" s="4" t="s">
        <v>499</v>
      </c>
      <c r="F152" s="11">
        <v>335</v>
      </c>
      <c r="G152" s="11" t="s">
        <v>2936</v>
      </c>
      <c r="H152" s="20" t="s">
        <v>3037</v>
      </c>
      <c r="I152" s="5" t="s">
        <v>56</v>
      </c>
      <c r="J152" s="20" t="s">
        <v>1711</v>
      </c>
      <c r="K152" s="601">
        <v>46227</v>
      </c>
      <c r="L152" s="545" t="s">
        <v>3162</v>
      </c>
      <c r="M152" s="544" t="s">
        <v>2713</v>
      </c>
      <c r="N152" s="445" t="s">
        <v>501</v>
      </c>
      <c r="O152" s="445">
        <v>0</v>
      </c>
      <c r="P152" s="445" t="s">
        <v>416</v>
      </c>
    </row>
    <row r="153" spans="1:16" s="32" customFormat="1" ht="48" x14ac:dyDescent="0.2">
      <c r="A153" s="181" t="s">
        <v>502</v>
      </c>
      <c r="B153" s="247"/>
      <c r="C153" s="181" t="s">
        <v>878</v>
      </c>
      <c r="D153" s="191" t="s">
        <v>2727</v>
      </c>
      <c r="E153" s="184" t="s">
        <v>197</v>
      </c>
      <c r="F153" s="192">
        <v>49</v>
      </c>
      <c r="G153" s="192" t="s">
        <v>2206</v>
      </c>
      <c r="H153" s="244" t="s">
        <v>2517</v>
      </c>
      <c r="I153" s="185" t="s">
        <v>503</v>
      </c>
      <c r="J153" s="244" t="s">
        <v>2158</v>
      </c>
      <c r="K153" s="581">
        <v>46320</v>
      </c>
      <c r="L153" s="347">
        <v>43033</v>
      </c>
      <c r="M153" s="244" t="s">
        <v>504</v>
      </c>
      <c r="N153" s="446"/>
      <c r="O153" s="446"/>
      <c r="P153" s="446"/>
    </row>
    <row r="154" spans="1:16" s="32" customFormat="1" ht="60" x14ac:dyDescent="0.2">
      <c r="A154" s="2" t="s">
        <v>505</v>
      </c>
      <c r="B154" s="21"/>
      <c r="C154" s="2" t="s">
        <v>879</v>
      </c>
      <c r="D154" s="10" t="s">
        <v>2727</v>
      </c>
      <c r="E154" s="4" t="s">
        <v>197</v>
      </c>
      <c r="F154" s="11">
        <v>10</v>
      </c>
      <c r="G154" s="11" t="s">
        <v>1939</v>
      </c>
      <c r="H154" s="20" t="s">
        <v>2517</v>
      </c>
      <c r="I154" s="5" t="s">
        <v>506</v>
      </c>
      <c r="J154" s="20" t="s">
        <v>2158</v>
      </c>
      <c r="K154" s="576">
        <v>46320</v>
      </c>
      <c r="L154" s="407">
        <v>43033</v>
      </c>
      <c r="M154" s="20" t="s">
        <v>504</v>
      </c>
      <c r="N154" s="445"/>
      <c r="O154" s="445"/>
      <c r="P154" s="445"/>
    </row>
    <row r="155" spans="1:16" ht="60" x14ac:dyDescent="0.25">
      <c r="A155" s="183">
        <v>5392</v>
      </c>
      <c r="B155" s="247">
        <v>42736</v>
      </c>
      <c r="C155" s="181" t="s">
        <v>880</v>
      </c>
      <c r="D155" s="191" t="s">
        <v>2727</v>
      </c>
      <c r="E155" s="184" t="s">
        <v>507</v>
      </c>
      <c r="F155" s="192" t="s">
        <v>508</v>
      </c>
      <c r="G155" s="184" t="s">
        <v>1939</v>
      </c>
      <c r="H155" s="244" t="s">
        <v>2269</v>
      </c>
      <c r="I155" s="185" t="s">
        <v>71</v>
      </c>
      <c r="J155" s="244" t="s">
        <v>2158</v>
      </c>
      <c r="K155" s="581">
        <v>46418</v>
      </c>
      <c r="L155" s="302" t="s">
        <v>2910</v>
      </c>
      <c r="M155" s="244" t="s">
        <v>47</v>
      </c>
      <c r="N155" s="446">
        <v>200</v>
      </c>
      <c r="O155" s="446">
        <v>200</v>
      </c>
      <c r="P155" s="446"/>
    </row>
    <row r="156" spans="1:16" ht="36" x14ac:dyDescent="0.25">
      <c r="A156" s="3">
        <v>5393</v>
      </c>
      <c r="B156" s="21">
        <v>42736</v>
      </c>
      <c r="C156" s="2" t="s">
        <v>881</v>
      </c>
      <c r="D156" s="10" t="s">
        <v>2727</v>
      </c>
      <c r="E156" s="4" t="s">
        <v>507</v>
      </c>
      <c r="F156" s="11" t="s">
        <v>509</v>
      </c>
      <c r="G156" s="4" t="s">
        <v>1939</v>
      </c>
      <c r="H156" s="20"/>
      <c r="I156" s="5" t="s">
        <v>510</v>
      </c>
      <c r="J156" s="20" t="s">
        <v>2158</v>
      </c>
      <c r="K156" s="576">
        <v>46418</v>
      </c>
      <c r="L156" s="410" t="s">
        <v>2910</v>
      </c>
      <c r="M156" s="20" t="s">
        <v>47</v>
      </c>
      <c r="N156" s="445">
        <v>200</v>
      </c>
      <c r="O156" s="445">
        <v>200</v>
      </c>
      <c r="P156" s="445"/>
    </row>
    <row r="157" spans="1:16" ht="48" x14ac:dyDescent="0.25">
      <c r="A157" s="183">
        <v>5394</v>
      </c>
      <c r="B157" s="247">
        <v>42736</v>
      </c>
      <c r="C157" s="181" t="s">
        <v>882</v>
      </c>
      <c r="D157" s="191" t="s">
        <v>2727</v>
      </c>
      <c r="E157" s="184" t="s">
        <v>507</v>
      </c>
      <c r="F157" s="192" t="s">
        <v>194</v>
      </c>
      <c r="G157" s="184" t="s">
        <v>1939</v>
      </c>
      <c r="H157" s="244"/>
      <c r="I157" s="185" t="s">
        <v>511</v>
      </c>
      <c r="J157" s="244" t="s">
        <v>2158</v>
      </c>
      <c r="K157" s="581">
        <v>46418</v>
      </c>
      <c r="L157" s="302" t="s">
        <v>2910</v>
      </c>
      <c r="M157" s="244" t="s">
        <v>47</v>
      </c>
      <c r="N157" s="446">
        <v>200</v>
      </c>
      <c r="O157" s="446">
        <v>200</v>
      </c>
      <c r="P157" s="446"/>
    </row>
    <row r="158" spans="1:16" s="32" customFormat="1" ht="66" customHeight="1" x14ac:dyDescent="0.2">
      <c r="A158" s="2" t="s">
        <v>2881</v>
      </c>
      <c r="B158" s="21">
        <v>42736</v>
      </c>
      <c r="C158" s="2" t="s">
        <v>883</v>
      </c>
      <c r="D158" s="10" t="s">
        <v>2730</v>
      </c>
      <c r="E158" s="4" t="s">
        <v>512</v>
      </c>
      <c r="F158" s="11" t="s">
        <v>107</v>
      </c>
      <c r="G158" s="4" t="s">
        <v>32</v>
      </c>
      <c r="H158" s="20" t="s">
        <v>2270</v>
      </c>
      <c r="I158" s="564" t="s">
        <v>33</v>
      </c>
      <c r="J158" s="544" t="s">
        <v>2158</v>
      </c>
      <c r="K158" s="601">
        <v>46477</v>
      </c>
      <c r="L158" s="545" t="s">
        <v>3009</v>
      </c>
      <c r="M158" s="20" t="s">
        <v>26</v>
      </c>
      <c r="N158" s="445">
        <v>150</v>
      </c>
      <c r="O158" s="445">
        <v>150</v>
      </c>
      <c r="P158" s="445"/>
    </row>
    <row r="159" spans="1:16" s="32" customFormat="1" ht="84" x14ac:dyDescent="0.2">
      <c r="A159" s="296" t="s">
        <v>2479</v>
      </c>
      <c r="B159" s="295">
        <v>42795</v>
      </c>
      <c r="C159" s="296" t="s">
        <v>885</v>
      </c>
      <c r="D159" s="395" t="s">
        <v>2753</v>
      </c>
      <c r="E159" s="297" t="s">
        <v>514</v>
      </c>
      <c r="F159" s="298" t="s">
        <v>515</v>
      </c>
      <c r="G159" s="297" t="s">
        <v>2548</v>
      </c>
      <c r="H159" s="299" t="s">
        <v>2271</v>
      </c>
      <c r="I159" s="842" t="s">
        <v>33</v>
      </c>
      <c r="J159" s="843" t="s">
        <v>678</v>
      </c>
      <c r="K159" s="844">
        <v>46508</v>
      </c>
      <c r="L159" s="845" t="s">
        <v>3055</v>
      </c>
      <c r="M159" s="299" t="s">
        <v>47</v>
      </c>
      <c r="N159" s="458">
        <v>300</v>
      </c>
      <c r="O159" s="458"/>
      <c r="P159" s="458"/>
    </row>
    <row r="160" spans="1:16" ht="65.25" customHeight="1" x14ac:dyDescent="0.25">
      <c r="A160" s="183">
        <v>5398</v>
      </c>
      <c r="B160" s="247">
        <v>42795</v>
      </c>
      <c r="C160" s="181" t="s">
        <v>886</v>
      </c>
      <c r="D160" s="191" t="s">
        <v>2727</v>
      </c>
      <c r="E160" s="184" t="s">
        <v>516</v>
      </c>
      <c r="F160" s="192" t="s">
        <v>126</v>
      </c>
      <c r="G160" s="184" t="s">
        <v>2322</v>
      </c>
      <c r="H160" s="656" t="s">
        <v>3194</v>
      </c>
      <c r="I160" s="185" t="s">
        <v>33</v>
      </c>
      <c r="J160" s="244" t="s">
        <v>678</v>
      </c>
      <c r="K160" s="581">
        <v>46433</v>
      </c>
      <c r="L160" s="302" t="s">
        <v>2935</v>
      </c>
      <c r="M160" s="244" t="s">
        <v>47</v>
      </c>
      <c r="N160" s="446"/>
      <c r="O160" s="446"/>
      <c r="P160" s="446"/>
    </row>
    <row r="161" spans="1:16" s="24" customFormat="1" ht="112.5" customHeight="1" x14ac:dyDescent="0.25">
      <c r="A161" s="3">
        <v>5399</v>
      </c>
      <c r="B161" s="21">
        <v>42795</v>
      </c>
      <c r="C161" s="10" t="s">
        <v>887</v>
      </c>
      <c r="D161" s="10" t="s">
        <v>2727</v>
      </c>
      <c r="E161" s="4" t="s">
        <v>66</v>
      </c>
      <c r="F161" s="11"/>
      <c r="G161" s="11" t="s">
        <v>2568</v>
      </c>
      <c r="H161" s="20" t="s">
        <v>2408</v>
      </c>
      <c r="I161" s="5" t="s">
        <v>71</v>
      </c>
      <c r="J161" s="20" t="s">
        <v>2978</v>
      </c>
      <c r="K161" s="576">
        <v>46387</v>
      </c>
      <c r="L161" s="410" t="s">
        <v>2857</v>
      </c>
      <c r="M161" s="20" t="s">
        <v>26</v>
      </c>
      <c r="N161" s="445"/>
      <c r="O161" s="445"/>
      <c r="P161" s="445"/>
    </row>
    <row r="162" spans="1:16" ht="48" x14ac:dyDescent="0.25">
      <c r="A162" s="183">
        <v>5419</v>
      </c>
      <c r="B162" s="183"/>
      <c r="C162" s="191" t="s">
        <v>888</v>
      </c>
      <c r="D162" s="191" t="s">
        <v>2728</v>
      </c>
      <c r="E162" s="192" t="s">
        <v>517</v>
      </c>
      <c r="F162" s="184" t="s">
        <v>518</v>
      </c>
      <c r="G162" s="184" t="s">
        <v>50</v>
      </c>
      <c r="H162" s="244" t="s">
        <v>519</v>
      </c>
      <c r="I162" s="185"/>
      <c r="J162" s="244" t="s">
        <v>678</v>
      </c>
      <c r="K162" s="581">
        <v>46191</v>
      </c>
      <c r="L162" s="677" t="s">
        <v>3096</v>
      </c>
      <c r="M162" s="656" t="s">
        <v>47</v>
      </c>
      <c r="N162" s="446"/>
      <c r="O162" s="446"/>
      <c r="P162" s="446"/>
    </row>
    <row r="163" spans="1:16" ht="48" x14ac:dyDescent="0.25">
      <c r="A163" s="3">
        <v>5425</v>
      </c>
      <c r="B163" s="3"/>
      <c r="C163" s="10" t="s">
        <v>889</v>
      </c>
      <c r="D163" s="10" t="s">
        <v>2728</v>
      </c>
      <c r="E163" s="11" t="s">
        <v>520</v>
      </c>
      <c r="F163" s="4"/>
      <c r="G163" s="4" t="s">
        <v>50</v>
      </c>
      <c r="H163" s="20"/>
      <c r="I163" s="5"/>
      <c r="J163" s="20" t="s">
        <v>2017</v>
      </c>
      <c r="K163" s="576">
        <v>45272</v>
      </c>
      <c r="L163" s="410" t="s">
        <v>521</v>
      </c>
      <c r="M163" s="20"/>
      <c r="N163" s="445"/>
      <c r="O163" s="445"/>
      <c r="P163" s="445"/>
    </row>
    <row r="164" spans="1:16" ht="48" x14ac:dyDescent="0.25">
      <c r="A164" s="183">
        <v>5428</v>
      </c>
      <c r="B164" s="183"/>
      <c r="C164" s="192" t="s">
        <v>890</v>
      </c>
      <c r="D164" s="191" t="s">
        <v>2750</v>
      </c>
      <c r="E164" s="184" t="s">
        <v>520</v>
      </c>
      <c r="F164" s="184" t="s">
        <v>425</v>
      </c>
      <c r="G164" s="184" t="s">
        <v>522</v>
      </c>
      <c r="H164" s="244"/>
      <c r="I164" s="185"/>
      <c r="J164" s="347" t="s">
        <v>523</v>
      </c>
      <c r="K164" s="603" t="s">
        <v>3052</v>
      </c>
      <c r="L164" s="347" t="s">
        <v>523</v>
      </c>
      <c r="M164" s="185"/>
      <c r="N164" s="443"/>
      <c r="O164" s="443"/>
      <c r="P164" s="443"/>
    </row>
    <row r="165" spans="1:16" ht="46.5" customHeight="1" x14ac:dyDescent="0.25">
      <c r="A165" s="3">
        <v>5429</v>
      </c>
      <c r="B165" s="3"/>
      <c r="C165" s="10" t="s">
        <v>891</v>
      </c>
      <c r="D165" s="10" t="s">
        <v>2727</v>
      </c>
      <c r="E165" s="4" t="s">
        <v>520</v>
      </c>
      <c r="F165" s="11" t="s">
        <v>525</v>
      </c>
      <c r="G165" s="4" t="s">
        <v>531</v>
      </c>
      <c r="H165" s="20" t="s">
        <v>2272</v>
      </c>
      <c r="I165" s="5"/>
      <c r="J165" s="20" t="s">
        <v>1806</v>
      </c>
      <c r="K165" s="576">
        <v>44995</v>
      </c>
      <c r="L165" s="407" t="s">
        <v>3014</v>
      </c>
      <c r="M165" s="20" t="s">
        <v>26</v>
      </c>
      <c r="N165" s="444"/>
      <c r="O165" s="444"/>
      <c r="P165" s="444"/>
    </row>
    <row r="166" spans="1:16" ht="87.75" customHeight="1" x14ac:dyDescent="0.25">
      <c r="A166" s="183">
        <v>5432</v>
      </c>
      <c r="B166" s="247"/>
      <c r="C166" s="181" t="s">
        <v>892</v>
      </c>
      <c r="D166" s="192" t="s">
        <v>2732</v>
      </c>
      <c r="E166" s="184" t="s">
        <v>520</v>
      </c>
      <c r="F166" s="184"/>
      <c r="G166" s="184" t="s">
        <v>213</v>
      </c>
      <c r="H166" s="244" t="s">
        <v>527</v>
      </c>
      <c r="I166" s="185"/>
      <c r="J166" s="244" t="s">
        <v>528</v>
      </c>
      <c r="K166" s="604" t="s">
        <v>528</v>
      </c>
      <c r="L166" s="560" t="s">
        <v>3137</v>
      </c>
      <c r="M166" s="495" t="s">
        <v>52</v>
      </c>
      <c r="N166" s="446"/>
      <c r="O166" s="446"/>
      <c r="P166" s="446" t="s">
        <v>29</v>
      </c>
    </row>
    <row r="167" spans="1:16" s="30" customFormat="1" ht="48" x14ac:dyDescent="0.25">
      <c r="A167" s="183">
        <v>5441</v>
      </c>
      <c r="B167" s="247"/>
      <c r="C167" s="181" t="s">
        <v>530</v>
      </c>
      <c r="D167" s="191" t="s">
        <v>2726</v>
      </c>
      <c r="E167" s="184"/>
      <c r="F167" s="192">
        <v>11</v>
      </c>
      <c r="G167" s="184" t="s">
        <v>531</v>
      </c>
      <c r="H167" s="244"/>
      <c r="I167" s="185"/>
      <c r="J167" s="244" t="s">
        <v>2012</v>
      </c>
      <c r="K167" s="659">
        <v>46077</v>
      </c>
      <c r="L167" s="347"/>
      <c r="M167" s="244"/>
      <c r="N167" s="446"/>
      <c r="O167" s="446"/>
      <c r="P167" s="446"/>
    </row>
    <row r="168" spans="1:16" s="24" customFormat="1" ht="36" x14ac:dyDescent="0.25">
      <c r="A168" s="3">
        <v>5443</v>
      </c>
      <c r="B168" s="21">
        <v>42917</v>
      </c>
      <c r="C168" s="562" t="s">
        <v>3180</v>
      </c>
      <c r="D168" s="10" t="s">
        <v>2727</v>
      </c>
      <c r="E168" s="4"/>
      <c r="F168" s="11">
        <v>8</v>
      </c>
      <c r="G168" s="4" t="s">
        <v>522</v>
      </c>
      <c r="H168" s="20"/>
      <c r="I168" s="5"/>
      <c r="J168" s="20" t="s">
        <v>2013</v>
      </c>
      <c r="K168" s="576">
        <v>46031</v>
      </c>
      <c r="L168" s="407"/>
      <c r="M168" s="20"/>
      <c r="N168" s="445"/>
      <c r="O168" s="445"/>
      <c r="P168" s="445"/>
    </row>
    <row r="169" spans="1:16" s="1" customFormat="1" ht="72" x14ac:dyDescent="0.25">
      <c r="A169" s="181">
        <v>5447</v>
      </c>
      <c r="B169" s="247">
        <v>43344</v>
      </c>
      <c r="C169" s="181" t="s">
        <v>896</v>
      </c>
      <c r="D169" s="191" t="s">
        <v>2727</v>
      </c>
      <c r="E169" s="184"/>
      <c r="F169" s="192">
        <v>38</v>
      </c>
      <c r="G169" s="192" t="s">
        <v>2642</v>
      </c>
      <c r="H169" s="244" t="s">
        <v>1988</v>
      </c>
      <c r="I169" s="185"/>
      <c r="J169" s="244" t="s">
        <v>678</v>
      </c>
      <c r="K169" s="581">
        <v>46235</v>
      </c>
      <c r="L169" s="677" t="s">
        <v>3154</v>
      </c>
      <c r="M169" s="656" t="s">
        <v>26</v>
      </c>
      <c r="N169" s="446"/>
      <c r="O169" s="446"/>
      <c r="P169" s="446"/>
    </row>
    <row r="170" spans="1:16" ht="157.5" customHeight="1" x14ac:dyDescent="0.25">
      <c r="A170" s="303">
        <v>5452</v>
      </c>
      <c r="B170" s="304">
        <v>44075</v>
      </c>
      <c r="C170" s="305" t="s">
        <v>1689</v>
      </c>
      <c r="D170" s="10" t="s">
        <v>2731</v>
      </c>
      <c r="E170" s="189"/>
      <c r="F170" s="273"/>
      <c r="G170" s="273" t="s">
        <v>38</v>
      </c>
      <c r="H170" s="932" t="s">
        <v>3217</v>
      </c>
      <c r="I170" s="17"/>
      <c r="J170" s="349" t="s">
        <v>2011</v>
      </c>
      <c r="K170" s="580"/>
      <c r="L170" s="425" t="s">
        <v>3055</v>
      </c>
      <c r="M170" s="349" t="s">
        <v>26</v>
      </c>
      <c r="N170" s="459"/>
      <c r="O170" s="459"/>
      <c r="P170" s="459"/>
    </row>
    <row r="171" spans="1:16" ht="48" x14ac:dyDescent="0.25">
      <c r="A171" s="303">
        <v>5455</v>
      </c>
      <c r="B171" s="304">
        <v>45300</v>
      </c>
      <c r="C171" s="305" t="s">
        <v>2462</v>
      </c>
      <c r="D171" s="10" t="s">
        <v>2727</v>
      </c>
      <c r="E171" s="273" t="s">
        <v>1001</v>
      </c>
      <c r="F171" s="273" t="s">
        <v>2233</v>
      </c>
      <c r="G171" s="273" t="s">
        <v>531</v>
      </c>
      <c r="H171" s="349"/>
      <c r="I171" s="17" t="s">
        <v>2234</v>
      </c>
      <c r="J171" s="349" t="s">
        <v>678</v>
      </c>
      <c r="K171" s="578">
        <v>46031</v>
      </c>
      <c r="L171" s="425"/>
      <c r="M171" s="349"/>
      <c r="N171" s="459"/>
      <c r="O171" s="459"/>
      <c r="P171" s="459"/>
    </row>
    <row r="172" spans="1:16" ht="48" x14ac:dyDescent="0.25">
      <c r="A172" s="303">
        <v>5456</v>
      </c>
      <c r="B172" s="304">
        <v>45364</v>
      </c>
      <c r="C172" s="305" t="s">
        <v>2463</v>
      </c>
      <c r="D172" s="10" t="s">
        <v>2727</v>
      </c>
      <c r="E172" s="273" t="s">
        <v>1001</v>
      </c>
      <c r="F172" s="273" t="s">
        <v>2233</v>
      </c>
      <c r="G172" s="273" t="s">
        <v>531</v>
      </c>
      <c r="H172" s="349"/>
      <c r="I172" s="17" t="s">
        <v>2234</v>
      </c>
      <c r="J172" s="349" t="s">
        <v>678</v>
      </c>
      <c r="K172" s="578">
        <v>46031</v>
      </c>
      <c r="L172" s="425"/>
      <c r="M172" s="349"/>
      <c r="N172" s="459"/>
      <c r="O172" s="459"/>
      <c r="P172" s="459"/>
    </row>
    <row r="173" spans="1:16" ht="48" x14ac:dyDescent="0.25">
      <c r="A173" s="303">
        <v>5457</v>
      </c>
      <c r="B173" s="304">
        <v>45476</v>
      </c>
      <c r="C173" s="305" t="s">
        <v>2389</v>
      </c>
      <c r="D173" s="10" t="s">
        <v>2727</v>
      </c>
      <c r="E173" s="273" t="s">
        <v>1001</v>
      </c>
      <c r="F173" s="273"/>
      <c r="G173" s="273" t="s">
        <v>531</v>
      </c>
      <c r="H173" s="349"/>
      <c r="I173" s="17" t="s">
        <v>2234</v>
      </c>
      <c r="J173" s="349" t="s">
        <v>2537</v>
      </c>
      <c r="K173" s="578">
        <v>45731</v>
      </c>
      <c r="L173" s="425"/>
      <c r="M173" s="349"/>
      <c r="N173" s="459"/>
      <c r="O173" s="459"/>
      <c r="P173" s="459"/>
    </row>
    <row r="174" spans="1:16" ht="72" customHeight="1" x14ac:dyDescent="0.25">
      <c r="A174" s="303">
        <v>5458</v>
      </c>
      <c r="B174" s="304">
        <v>45544</v>
      </c>
      <c r="C174" s="305" t="s">
        <v>2416</v>
      </c>
      <c r="D174" s="10" t="s">
        <v>2727</v>
      </c>
      <c r="E174" s="273" t="s">
        <v>1001</v>
      </c>
      <c r="F174" s="273"/>
      <c r="G174" s="273" t="s">
        <v>531</v>
      </c>
      <c r="H174" s="349"/>
      <c r="I174" s="349" t="s">
        <v>2417</v>
      </c>
      <c r="J174" s="349" t="s">
        <v>2537</v>
      </c>
      <c r="K174" s="578">
        <v>45731</v>
      </c>
      <c r="L174" s="425"/>
      <c r="M174" s="349"/>
      <c r="N174" s="459"/>
      <c r="O174" s="459"/>
      <c r="P174" s="459"/>
    </row>
    <row r="175" spans="1:16" ht="132" x14ac:dyDescent="0.25">
      <c r="A175" s="303">
        <v>5460</v>
      </c>
      <c r="B175" s="370" t="s">
        <v>2678</v>
      </c>
      <c r="C175" s="305" t="s">
        <v>2840</v>
      </c>
      <c r="D175" s="273" t="s">
        <v>2726</v>
      </c>
      <c r="E175" s="273" t="s">
        <v>1001</v>
      </c>
      <c r="F175" s="273"/>
      <c r="G175" s="273" t="s">
        <v>38</v>
      </c>
      <c r="H175" s="349"/>
      <c r="I175" s="349" t="s">
        <v>2234</v>
      </c>
      <c r="J175" s="349" t="s">
        <v>2982</v>
      </c>
      <c r="K175" s="578" t="s">
        <v>3053</v>
      </c>
      <c r="L175" s="425"/>
      <c r="M175" s="349"/>
      <c r="N175" s="459"/>
      <c r="O175" s="459"/>
      <c r="P175" s="459"/>
    </row>
    <row r="176" spans="1:16" s="373" customFormat="1" ht="36" x14ac:dyDescent="0.2">
      <c r="A176" s="303">
        <v>5461</v>
      </c>
      <c r="B176" s="370">
        <v>45901</v>
      </c>
      <c r="C176" s="305" t="s">
        <v>2698</v>
      </c>
      <c r="D176" s="10" t="s">
        <v>2731</v>
      </c>
      <c r="E176" s="273" t="s">
        <v>1001</v>
      </c>
      <c r="F176" s="273" t="s">
        <v>2699</v>
      </c>
      <c r="G176" s="273" t="s">
        <v>531</v>
      </c>
      <c r="H176" s="349"/>
      <c r="I176" s="349" t="s">
        <v>2700</v>
      </c>
      <c r="J176" s="349"/>
      <c r="K176" s="578"/>
      <c r="L176" s="425"/>
      <c r="M176" s="349"/>
      <c r="N176" s="459"/>
      <c r="O176" s="459"/>
      <c r="P176" s="459"/>
    </row>
    <row r="177" spans="1:16" ht="36" x14ac:dyDescent="0.25">
      <c r="A177" s="303">
        <v>5461</v>
      </c>
      <c r="B177" s="370">
        <v>45901</v>
      </c>
      <c r="C177" s="305" t="s">
        <v>2701</v>
      </c>
      <c r="D177" s="10" t="s">
        <v>2731</v>
      </c>
      <c r="E177" s="273" t="s">
        <v>1001</v>
      </c>
      <c r="F177" s="273" t="s">
        <v>2702</v>
      </c>
      <c r="G177" s="273" t="s">
        <v>531</v>
      </c>
      <c r="H177" s="349"/>
      <c r="I177" s="349" t="s">
        <v>2700</v>
      </c>
      <c r="J177" s="349"/>
      <c r="K177" s="578"/>
      <c r="L177" s="425"/>
      <c r="M177" s="349"/>
      <c r="N177" s="459"/>
      <c r="O177" s="459"/>
      <c r="P177" s="459"/>
    </row>
    <row r="178" spans="1:16" ht="48" x14ac:dyDescent="0.25">
      <c r="A178" s="303">
        <v>5462</v>
      </c>
      <c r="B178" s="370">
        <v>45901</v>
      </c>
      <c r="C178" s="305" t="s">
        <v>2706</v>
      </c>
      <c r="D178" s="10" t="s">
        <v>2727</v>
      </c>
      <c r="E178" s="273" t="s">
        <v>1001</v>
      </c>
      <c r="F178" s="273" t="s">
        <v>2703</v>
      </c>
      <c r="G178" s="273" t="s">
        <v>531</v>
      </c>
      <c r="H178" s="349"/>
      <c r="I178" s="349" t="s">
        <v>2700</v>
      </c>
      <c r="J178" s="349"/>
      <c r="K178" s="578"/>
      <c r="L178" s="425"/>
      <c r="M178" s="349"/>
      <c r="N178" s="459"/>
      <c r="O178" s="459"/>
      <c r="P178" s="459"/>
    </row>
    <row r="179" spans="1:16" ht="36" x14ac:dyDescent="0.25">
      <c r="A179" s="303">
        <v>5462</v>
      </c>
      <c r="B179" s="370">
        <v>45901</v>
      </c>
      <c r="C179" s="305" t="s">
        <v>2705</v>
      </c>
      <c r="D179" s="10" t="s">
        <v>2733</v>
      </c>
      <c r="E179" s="273" t="s">
        <v>1001</v>
      </c>
      <c r="F179" s="273" t="s">
        <v>2704</v>
      </c>
      <c r="G179" s="273" t="s">
        <v>531</v>
      </c>
      <c r="H179" s="349"/>
      <c r="I179" s="349" t="s">
        <v>2700</v>
      </c>
      <c r="J179" s="349"/>
      <c r="K179" s="578"/>
      <c r="L179" s="425"/>
      <c r="M179" s="349"/>
      <c r="N179" s="459"/>
      <c r="O179" s="459"/>
      <c r="P179" s="459"/>
    </row>
    <row r="180" spans="1:16" ht="36" x14ac:dyDescent="0.25">
      <c r="A180" s="303">
        <v>5462</v>
      </c>
      <c r="B180" s="370">
        <v>45901</v>
      </c>
      <c r="C180" s="305" t="s">
        <v>2710</v>
      </c>
      <c r="D180" s="10" t="s">
        <v>2734</v>
      </c>
      <c r="E180" s="273" t="s">
        <v>1001</v>
      </c>
      <c r="F180" s="273" t="s">
        <v>2709</v>
      </c>
      <c r="G180" s="273" t="s">
        <v>531</v>
      </c>
      <c r="H180" s="349"/>
      <c r="I180" s="349" t="s">
        <v>2700</v>
      </c>
      <c r="J180" s="349"/>
      <c r="K180" s="578"/>
      <c r="L180" s="425"/>
      <c r="M180" s="349"/>
      <c r="N180" s="459"/>
      <c r="O180" s="459"/>
      <c r="P180" s="459"/>
    </row>
    <row r="181" spans="1:16" s="1" customFormat="1" ht="36" x14ac:dyDescent="0.25">
      <c r="A181" s="521">
        <v>5463</v>
      </c>
      <c r="B181" s="531">
        <v>45901</v>
      </c>
      <c r="C181" s="523" t="s">
        <v>2993</v>
      </c>
      <c r="D181" s="524" t="s">
        <v>2727</v>
      </c>
      <c r="E181" s="526" t="s">
        <v>1001</v>
      </c>
      <c r="F181" s="526" t="s">
        <v>2702</v>
      </c>
      <c r="G181" s="538" t="s">
        <v>531</v>
      </c>
      <c r="H181" s="526"/>
      <c r="I181" s="526" t="s">
        <v>2700</v>
      </c>
      <c r="J181" s="526"/>
      <c r="K181" s="605"/>
      <c r="L181" s="568"/>
      <c r="M181" s="528"/>
      <c r="N181" s="569"/>
      <c r="O181" s="569"/>
      <c r="P181" s="569"/>
    </row>
    <row r="182" spans="1:16" ht="60" x14ac:dyDescent="0.25">
      <c r="A182" s="303">
        <v>5463</v>
      </c>
      <c r="B182" s="370">
        <v>45901</v>
      </c>
      <c r="C182" s="523" t="s">
        <v>3200</v>
      </c>
      <c r="D182" s="10" t="s">
        <v>2731</v>
      </c>
      <c r="E182" s="273" t="s">
        <v>1001</v>
      </c>
      <c r="F182" s="273" t="s">
        <v>2707</v>
      </c>
      <c r="G182" s="273" t="s">
        <v>531</v>
      </c>
      <c r="H182" s="349"/>
      <c r="I182" s="349" t="s">
        <v>2700</v>
      </c>
      <c r="J182" s="349"/>
      <c r="K182" s="578"/>
      <c r="L182" s="425"/>
      <c r="M182" s="349"/>
      <c r="N182" s="459"/>
      <c r="O182" s="459"/>
      <c r="P182" s="459"/>
    </row>
    <row r="183" spans="1:16" ht="36" x14ac:dyDescent="0.25">
      <c r="A183" s="303">
        <v>5463</v>
      </c>
      <c r="B183" s="370">
        <v>45901</v>
      </c>
      <c r="C183" s="305" t="s">
        <v>2708</v>
      </c>
      <c r="D183" s="10" t="s">
        <v>2727</v>
      </c>
      <c r="E183" s="273" t="s">
        <v>1001</v>
      </c>
      <c r="F183" s="273" t="s">
        <v>2703</v>
      </c>
      <c r="G183" s="273" t="s">
        <v>531</v>
      </c>
      <c r="H183" s="349"/>
      <c r="I183" s="349" t="s">
        <v>2700</v>
      </c>
      <c r="J183" s="349"/>
      <c r="K183" s="578"/>
      <c r="L183" s="425"/>
      <c r="M183" s="349"/>
      <c r="N183" s="459"/>
      <c r="O183" s="459"/>
      <c r="P183" s="459"/>
    </row>
    <row r="184" spans="1:16" s="437" customFormat="1" ht="37.5" customHeight="1" x14ac:dyDescent="0.25">
      <c r="A184" s="639">
        <v>5464</v>
      </c>
      <c r="B184" s="635" t="s">
        <v>575</v>
      </c>
      <c r="C184" s="639" t="s">
        <v>3056</v>
      </c>
      <c r="D184" s="636"/>
      <c r="E184" s="641" t="s">
        <v>1001</v>
      </c>
      <c r="F184" s="641" t="s">
        <v>3058</v>
      </c>
      <c r="G184" s="641" t="s">
        <v>3059</v>
      </c>
      <c r="H184" s="637"/>
      <c r="I184" s="640" t="s">
        <v>3057</v>
      </c>
      <c r="J184" s="637"/>
      <c r="K184" s="638"/>
      <c r="L184" s="637"/>
      <c r="M184" s="637"/>
      <c r="N184" s="637"/>
      <c r="O184" s="637"/>
      <c r="P184" s="637"/>
    </row>
    <row r="185" spans="1:16" s="437" customFormat="1" ht="107.25" customHeight="1" x14ac:dyDescent="0.25">
      <c r="A185" s="857">
        <v>5465</v>
      </c>
      <c r="B185" s="858">
        <v>46174</v>
      </c>
      <c r="C185" s="859" t="s">
        <v>3211</v>
      </c>
      <c r="D185" s="860" t="s">
        <v>2727</v>
      </c>
      <c r="E185" s="860" t="s">
        <v>1001</v>
      </c>
      <c r="F185" s="861"/>
      <c r="G185" s="860" t="s">
        <v>3212</v>
      </c>
      <c r="H185" s="862"/>
      <c r="I185" s="870" t="s">
        <v>2700</v>
      </c>
      <c r="J185" s="862"/>
      <c r="K185" s="862"/>
      <c r="L185" s="862"/>
      <c r="M185" s="862"/>
      <c r="N185" s="862"/>
      <c r="O185" s="862"/>
      <c r="P185" s="862"/>
    </row>
    <row r="186" spans="1:16" ht="36" x14ac:dyDescent="0.25">
      <c r="A186" s="183">
        <v>5502</v>
      </c>
      <c r="B186" s="247">
        <v>42826</v>
      </c>
      <c r="C186" s="181" t="s">
        <v>901</v>
      </c>
      <c r="D186" s="191" t="s">
        <v>2727</v>
      </c>
      <c r="E186" s="184" t="s">
        <v>535</v>
      </c>
      <c r="F186" s="192" t="s">
        <v>107</v>
      </c>
      <c r="G186" s="184" t="s">
        <v>1939</v>
      </c>
      <c r="H186" s="244" t="s">
        <v>2518</v>
      </c>
      <c r="I186" s="185" t="s">
        <v>33</v>
      </c>
      <c r="J186" s="244" t="s">
        <v>2158</v>
      </c>
      <c r="K186" s="581">
        <v>46322</v>
      </c>
      <c r="L186" s="302">
        <v>45957</v>
      </c>
      <c r="M186" s="244" t="s">
        <v>52</v>
      </c>
      <c r="N186" s="446">
        <v>250</v>
      </c>
      <c r="O186" s="446">
        <v>250</v>
      </c>
      <c r="P186" s="446"/>
    </row>
    <row r="187" spans="1:16" ht="72" x14ac:dyDescent="0.25">
      <c r="A187" s="207">
        <v>5504</v>
      </c>
      <c r="B187" s="257">
        <v>42767</v>
      </c>
      <c r="C187" s="242" t="s">
        <v>536</v>
      </c>
      <c r="D187" s="210" t="s">
        <v>2731</v>
      </c>
      <c r="E187" s="209"/>
      <c r="F187" s="210"/>
      <c r="G187" s="209" t="s">
        <v>131</v>
      </c>
      <c r="H187" s="281"/>
      <c r="I187" s="211"/>
      <c r="J187" s="281" t="s">
        <v>2005</v>
      </c>
      <c r="K187" s="602" t="s">
        <v>1001</v>
      </c>
      <c r="L187" s="413"/>
      <c r="M187" s="281"/>
      <c r="N187" s="452"/>
      <c r="O187" s="452"/>
      <c r="P187" s="452"/>
    </row>
    <row r="188" spans="1:16" ht="36" x14ac:dyDescent="0.25">
      <c r="A188" s="274">
        <v>5505</v>
      </c>
      <c r="B188" s="275">
        <v>42856</v>
      </c>
      <c r="C188" s="276" t="s">
        <v>902</v>
      </c>
      <c r="D188" s="396" t="s">
        <v>2750</v>
      </c>
      <c r="E188" s="277"/>
      <c r="F188" s="278"/>
      <c r="G188" s="277" t="s">
        <v>144</v>
      </c>
      <c r="H188" s="279" t="s">
        <v>2651</v>
      </c>
      <c r="I188" s="280"/>
      <c r="J188" s="279" t="s">
        <v>678</v>
      </c>
      <c r="K188" s="577">
        <v>45230</v>
      </c>
      <c r="L188" s="423"/>
      <c r="M188" s="279"/>
      <c r="N188" s="457"/>
      <c r="O188" s="457"/>
      <c r="P188" s="457"/>
    </row>
    <row r="189" spans="1:16" s="32" customFormat="1" ht="120" x14ac:dyDescent="0.2">
      <c r="A189" s="242" t="s">
        <v>537</v>
      </c>
      <c r="B189" s="257">
        <v>42917</v>
      </c>
      <c r="C189" s="242" t="s">
        <v>903</v>
      </c>
      <c r="D189" s="208" t="s">
        <v>2726</v>
      </c>
      <c r="E189" s="209" t="s">
        <v>538</v>
      </c>
      <c r="F189" s="210" t="s">
        <v>539</v>
      </c>
      <c r="G189" s="209" t="s">
        <v>144</v>
      </c>
      <c r="H189" s="281" t="s">
        <v>2790</v>
      </c>
      <c r="I189" s="211" t="s">
        <v>33</v>
      </c>
      <c r="J189" s="281" t="s">
        <v>2158</v>
      </c>
      <c r="K189" s="931">
        <v>46543</v>
      </c>
      <c r="L189" s="413" t="s">
        <v>3089</v>
      </c>
      <c r="M189" s="281" t="s">
        <v>47</v>
      </c>
      <c r="N189" s="452"/>
      <c r="O189" s="452"/>
      <c r="P189" s="452"/>
    </row>
    <row r="190" spans="1:16" s="9" customFormat="1" ht="36" x14ac:dyDescent="0.25">
      <c r="A190" s="3">
        <v>5508</v>
      </c>
      <c r="B190" s="21">
        <v>42856</v>
      </c>
      <c r="C190" s="2" t="s">
        <v>905</v>
      </c>
      <c r="D190" s="10" t="s">
        <v>2735</v>
      </c>
      <c r="E190" s="4" t="s">
        <v>542</v>
      </c>
      <c r="F190" s="11" t="s">
        <v>194</v>
      </c>
      <c r="G190" s="4" t="s">
        <v>18</v>
      </c>
      <c r="H190" s="20"/>
      <c r="I190" s="5" t="s">
        <v>498</v>
      </c>
      <c r="J190" s="20" t="s">
        <v>678</v>
      </c>
      <c r="K190" s="601">
        <v>46478</v>
      </c>
      <c r="L190" s="410"/>
      <c r="M190" s="20"/>
      <c r="N190" s="445"/>
      <c r="O190" s="445"/>
      <c r="P190" s="445"/>
    </row>
    <row r="191" spans="1:16" s="31" customFormat="1" ht="108.75" customHeight="1" x14ac:dyDescent="0.15">
      <c r="A191" s="183">
        <v>5509</v>
      </c>
      <c r="B191" s="247">
        <v>42856</v>
      </c>
      <c r="C191" s="181" t="s">
        <v>906</v>
      </c>
      <c r="D191" s="191" t="s">
        <v>2727</v>
      </c>
      <c r="E191" s="184" t="s">
        <v>543</v>
      </c>
      <c r="F191" s="192" t="s">
        <v>332</v>
      </c>
      <c r="G191" s="184" t="s">
        <v>18</v>
      </c>
      <c r="H191" s="244"/>
      <c r="I191" s="185" t="s">
        <v>498</v>
      </c>
      <c r="J191" s="244" t="s">
        <v>678</v>
      </c>
      <c r="K191" s="581">
        <v>46327</v>
      </c>
      <c r="L191" s="302"/>
      <c r="M191" s="244"/>
      <c r="N191" s="446"/>
      <c r="O191" s="446"/>
      <c r="P191" s="446"/>
    </row>
    <row r="192" spans="1:16" ht="48" x14ac:dyDescent="0.25">
      <c r="A192" s="207">
        <v>5510</v>
      </c>
      <c r="B192" s="257">
        <v>42948</v>
      </c>
      <c r="C192" s="242" t="s">
        <v>544</v>
      </c>
      <c r="D192" s="210" t="s">
        <v>2726</v>
      </c>
      <c r="E192" s="209"/>
      <c r="F192" s="210"/>
      <c r="G192" s="209" t="s">
        <v>1846</v>
      </c>
      <c r="H192" s="281"/>
      <c r="I192" s="211" t="s">
        <v>118</v>
      </c>
      <c r="J192" s="281" t="s">
        <v>2979</v>
      </c>
      <c r="K192" s="602" t="s">
        <v>2669</v>
      </c>
      <c r="L192" s="413"/>
      <c r="M192" s="281"/>
      <c r="N192" s="452"/>
      <c r="O192" s="452"/>
      <c r="P192" s="452"/>
    </row>
    <row r="193" spans="1:16" ht="120" x14ac:dyDescent="0.25">
      <c r="A193" s="3">
        <v>5512</v>
      </c>
      <c r="B193" s="21">
        <v>42917</v>
      </c>
      <c r="C193" s="2" t="s">
        <v>908</v>
      </c>
      <c r="D193" s="10" t="s">
        <v>2727</v>
      </c>
      <c r="E193" s="4" t="s">
        <v>546</v>
      </c>
      <c r="F193" s="11" t="s">
        <v>343</v>
      </c>
      <c r="G193" s="4" t="s">
        <v>116</v>
      </c>
      <c r="H193" s="20" t="s">
        <v>2972</v>
      </c>
      <c r="I193" s="5" t="s">
        <v>60</v>
      </c>
      <c r="J193" s="20" t="s">
        <v>2158</v>
      </c>
      <c r="K193" s="576">
        <v>46543</v>
      </c>
      <c r="L193" s="410" t="s">
        <v>3089</v>
      </c>
      <c r="M193" s="20" t="s">
        <v>47</v>
      </c>
      <c r="N193" s="445">
        <v>200</v>
      </c>
      <c r="O193" s="445">
        <v>0</v>
      </c>
      <c r="P193" s="445" t="s">
        <v>35</v>
      </c>
    </row>
    <row r="194" spans="1:16" s="31" customFormat="1" ht="48" x14ac:dyDescent="0.15">
      <c r="A194" s="183">
        <v>5513</v>
      </c>
      <c r="B194" s="247">
        <v>42887</v>
      </c>
      <c r="C194" s="192" t="s">
        <v>2839</v>
      </c>
      <c r="D194" s="191" t="s">
        <v>2727</v>
      </c>
      <c r="E194" s="184" t="s">
        <v>547</v>
      </c>
      <c r="F194" s="192" t="s">
        <v>77</v>
      </c>
      <c r="G194" s="184" t="s">
        <v>2322</v>
      </c>
      <c r="H194" s="244"/>
      <c r="I194" s="185" t="s">
        <v>498</v>
      </c>
      <c r="J194" s="244" t="s">
        <v>678</v>
      </c>
      <c r="K194" s="581">
        <v>46427</v>
      </c>
      <c r="L194" s="302" t="s">
        <v>2933</v>
      </c>
      <c r="M194" s="244" t="s">
        <v>47</v>
      </c>
      <c r="N194" s="446"/>
      <c r="O194" s="446"/>
      <c r="P194" s="446"/>
    </row>
    <row r="195" spans="1:16" ht="36" x14ac:dyDescent="0.25">
      <c r="A195" s="3">
        <v>5514</v>
      </c>
      <c r="B195" s="21">
        <v>42887</v>
      </c>
      <c r="C195" s="11" t="s">
        <v>909</v>
      </c>
      <c r="D195" s="10" t="s">
        <v>2727</v>
      </c>
      <c r="E195" s="4" t="s">
        <v>548</v>
      </c>
      <c r="F195" s="11" t="s">
        <v>549</v>
      </c>
      <c r="G195" s="4" t="s">
        <v>18</v>
      </c>
      <c r="H195" s="20"/>
      <c r="I195" s="5" t="s">
        <v>498</v>
      </c>
      <c r="J195" s="20" t="s">
        <v>2158</v>
      </c>
      <c r="K195" s="576">
        <v>46357</v>
      </c>
      <c r="L195" s="410"/>
      <c r="M195" s="20"/>
      <c r="N195" s="445"/>
      <c r="O195" s="445"/>
      <c r="P195" s="445"/>
    </row>
    <row r="196" spans="1:16" s="31" customFormat="1" ht="186" customHeight="1" x14ac:dyDescent="0.15">
      <c r="A196" s="183">
        <v>5516</v>
      </c>
      <c r="B196" s="247">
        <v>42948</v>
      </c>
      <c r="C196" s="181" t="s">
        <v>910</v>
      </c>
      <c r="D196" s="191" t="s">
        <v>2726</v>
      </c>
      <c r="E196" s="184" t="s">
        <v>550</v>
      </c>
      <c r="F196" s="192" t="s">
        <v>551</v>
      </c>
      <c r="G196" s="184" t="s">
        <v>1909</v>
      </c>
      <c r="H196" s="244" t="s">
        <v>2499</v>
      </c>
      <c r="I196" s="185" t="s">
        <v>71</v>
      </c>
      <c r="J196" s="244" t="s">
        <v>2158</v>
      </c>
      <c r="K196" s="581">
        <v>46222</v>
      </c>
      <c r="L196" s="302">
        <v>45857</v>
      </c>
      <c r="M196" s="244" t="s">
        <v>26</v>
      </c>
      <c r="N196" s="446">
        <v>150</v>
      </c>
      <c r="O196" s="446">
        <v>150</v>
      </c>
      <c r="P196" s="446"/>
    </row>
    <row r="197" spans="1:16" ht="48" x14ac:dyDescent="0.25">
      <c r="A197" s="3">
        <v>5517</v>
      </c>
      <c r="B197" s="21">
        <v>42948</v>
      </c>
      <c r="C197" s="2" t="s">
        <v>911</v>
      </c>
      <c r="D197" s="10" t="s">
        <v>2726</v>
      </c>
      <c r="E197" s="4" t="s">
        <v>550</v>
      </c>
      <c r="F197" s="11" t="s">
        <v>552</v>
      </c>
      <c r="G197" s="4" t="s">
        <v>1909</v>
      </c>
      <c r="H197" s="20" t="s">
        <v>2499</v>
      </c>
      <c r="I197" s="5" t="s">
        <v>510</v>
      </c>
      <c r="J197" s="20" t="s">
        <v>2158</v>
      </c>
      <c r="K197" s="576">
        <v>46222</v>
      </c>
      <c r="L197" s="410">
        <v>45857</v>
      </c>
      <c r="M197" s="20" t="s">
        <v>26</v>
      </c>
      <c r="N197" s="445">
        <v>150</v>
      </c>
      <c r="O197" s="445">
        <v>150</v>
      </c>
      <c r="P197" s="445"/>
    </row>
    <row r="198" spans="1:16" ht="48" x14ac:dyDescent="0.25">
      <c r="A198" s="183">
        <v>5518</v>
      </c>
      <c r="B198" s="247">
        <v>42948</v>
      </c>
      <c r="C198" s="181" t="s">
        <v>912</v>
      </c>
      <c r="D198" s="191" t="s">
        <v>2726</v>
      </c>
      <c r="E198" s="184" t="s">
        <v>550</v>
      </c>
      <c r="F198" s="192" t="s">
        <v>553</v>
      </c>
      <c r="G198" s="184" t="s">
        <v>18</v>
      </c>
      <c r="H198" s="244"/>
      <c r="I198" s="185" t="s">
        <v>498</v>
      </c>
      <c r="J198" s="244" t="s">
        <v>2158</v>
      </c>
      <c r="K198" s="581">
        <v>46222</v>
      </c>
      <c r="L198" s="302">
        <v>45857</v>
      </c>
      <c r="M198" s="244" t="s">
        <v>26</v>
      </c>
      <c r="N198" s="446"/>
      <c r="O198" s="446"/>
      <c r="P198" s="446"/>
    </row>
    <row r="199" spans="1:16" s="31" customFormat="1" ht="123" customHeight="1" x14ac:dyDescent="0.15">
      <c r="A199" s="3">
        <v>5519</v>
      </c>
      <c r="B199" s="21">
        <v>42917</v>
      </c>
      <c r="C199" s="2" t="s">
        <v>554</v>
      </c>
      <c r="D199" s="11" t="s">
        <v>2727</v>
      </c>
      <c r="E199" s="4"/>
      <c r="F199" s="11" t="s">
        <v>553</v>
      </c>
      <c r="G199" s="4" t="s">
        <v>116</v>
      </c>
      <c r="H199" s="20" t="s">
        <v>2100</v>
      </c>
      <c r="I199" s="5"/>
      <c r="J199" s="20" t="s">
        <v>2980</v>
      </c>
      <c r="K199" s="591">
        <v>46178</v>
      </c>
      <c r="L199" s="410"/>
      <c r="M199" s="20"/>
      <c r="N199" s="445"/>
      <c r="O199" s="445"/>
      <c r="P199" s="445"/>
    </row>
    <row r="200" spans="1:16" s="795" customFormat="1" ht="135" customHeight="1" x14ac:dyDescent="0.25">
      <c r="A200" s="885">
        <v>5520</v>
      </c>
      <c r="B200" s="886">
        <v>42979</v>
      </c>
      <c r="C200" s="887" t="s">
        <v>913</v>
      </c>
      <c r="D200" s="888" t="s">
        <v>2725</v>
      </c>
      <c r="E200" s="889" t="s">
        <v>555</v>
      </c>
      <c r="F200" s="890" t="s">
        <v>556</v>
      </c>
      <c r="G200" s="890" t="s">
        <v>2570</v>
      </c>
      <c r="H200" s="884" t="s">
        <v>2113</v>
      </c>
      <c r="I200" s="891" t="s">
        <v>33</v>
      </c>
      <c r="J200" s="884" t="s">
        <v>46</v>
      </c>
      <c r="K200" s="892">
        <v>46231</v>
      </c>
      <c r="L200" s="883" t="s">
        <v>3153</v>
      </c>
      <c r="M200" s="884" t="s">
        <v>47</v>
      </c>
      <c r="N200" s="893" t="s">
        <v>2086</v>
      </c>
      <c r="O200" s="893" t="s">
        <v>2087</v>
      </c>
      <c r="P200" s="893"/>
    </row>
    <row r="201" spans="1:16" ht="106.5" customHeight="1" x14ac:dyDescent="0.25">
      <c r="A201" s="207">
        <v>5521</v>
      </c>
      <c r="B201" s="257">
        <v>43009</v>
      </c>
      <c r="C201" s="242" t="s">
        <v>914</v>
      </c>
      <c r="D201" s="208" t="s">
        <v>2731</v>
      </c>
      <c r="E201" s="209" t="s">
        <v>557</v>
      </c>
      <c r="F201" s="210" t="s">
        <v>558</v>
      </c>
      <c r="G201" s="209" t="s">
        <v>131</v>
      </c>
      <c r="H201" s="281" t="s">
        <v>2291</v>
      </c>
      <c r="I201" s="211" t="s">
        <v>33</v>
      </c>
      <c r="J201" s="281" t="s">
        <v>46</v>
      </c>
      <c r="K201" s="584">
        <v>46272</v>
      </c>
      <c r="L201" s="413" t="s">
        <v>3216</v>
      </c>
      <c r="M201" s="281" t="s">
        <v>47</v>
      </c>
      <c r="N201" s="452" t="s">
        <v>1738</v>
      </c>
      <c r="O201" s="452" t="s">
        <v>559</v>
      </c>
      <c r="P201" s="452"/>
    </row>
    <row r="202" spans="1:16" s="901" customFormat="1" ht="48" x14ac:dyDescent="0.15">
      <c r="A202" s="894">
        <v>5522</v>
      </c>
      <c r="B202" s="895">
        <v>42979</v>
      </c>
      <c r="C202" s="896" t="s">
        <v>915</v>
      </c>
      <c r="D202" s="787" t="s">
        <v>2730</v>
      </c>
      <c r="E202" s="897" t="s">
        <v>560</v>
      </c>
      <c r="F202" s="898" t="s">
        <v>561</v>
      </c>
      <c r="G202" s="897" t="s">
        <v>116</v>
      </c>
      <c r="H202" s="793" t="s">
        <v>3142</v>
      </c>
      <c r="I202" s="829" t="s">
        <v>60</v>
      </c>
      <c r="J202" s="793" t="s">
        <v>678</v>
      </c>
      <c r="K202" s="818">
        <v>46245</v>
      </c>
      <c r="L202" s="899" t="s">
        <v>3195</v>
      </c>
      <c r="M202" s="793" t="s">
        <v>47</v>
      </c>
      <c r="N202" s="900">
        <v>200</v>
      </c>
      <c r="O202" s="900">
        <v>0</v>
      </c>
      <c r="P202" s="900" t="s">
        <v>35</v>
      </c>
    </row>
    <row r="203" spans="1:16" s="32" customFormat="1" ht="114.75" customHeight="1" x14ac:dyDescent="0.2">
      <c r="A203" s="610" t="s">
        <v>562</v>
      </c>
      <c r="B203" s="614">
        <v>42979</v>
      </c>
      <c r="C203" s="610" t="s">
        <v>916</v>
      </c>
      <c r="D203" s="618" t="s">
        <v>2754</v>
      </c>
      <c r="E203" s="621" t="s">
        <v>563</v>
      </c>
      <c r="F203" s="622" t="s">
        <v>564</v>
      </c>
      <c r="G203" s="841" t="s">
        <v>3150</v>
      </c>
      <c r="H203" s="839" t="s">
        <v>2640</v>
      </c>
      <c r="I203" s="627" t="s">
        <v>60</v>
      </c>
      <c r="J203" s="624" t="s">
        <v>678</v>
      </c>
      <c r="K203" s="632">
        <v>46310</v>
      </c>
      <c r="L203" s="850">
        <v>45945</v>
      </c>
      <c r="M203" s="839" t="s">
        <v>26</v>
      </c>
      <c r="N203" s="634"/>
      <c r="O203" s="634"/>
      <c r="P203" s="634"/>
    </row>
    <row r="204" spans="1:16" s="303" customFormat="1" ht="127.5" customHeight="1" x14ac:dyDescent="0.25">
      <c r="A204" s="181" t="s">
        <v>565</v>
      </c>
      <c r="B204" s="247">
        <v>42979</v>
      </c>
      <c r="C204" s="181" t="s">
        <v>917</v>
      </c>
      <c r="D204" s="191" t="s">
        <v>2725</v>
      </c>
      <c r="E204" s="184" t="s">
        <v>566</v>
      </c>
      <c r="F204" s="192" t="s">
        <v>567</v>
      </c>
      <c r="G204" s="192" t="s">
        <v>32</v>
      </c>
      <c r="H204" s="244" t="s">
        <v>1875</v>
      </c>
      <c r="I204" s="185" t="s">
        <v>71</v>
      </c>
      <c r="J204" s="244" t="s">
        <v>2188</v>
      </c>
      <c r="K204" s="581">
        <v>46265</v>
      </c>
      <c r="L204" s="869" t="s">
        <v>3199</v>
      </c>
      <c r="M204" s="656" t="s">
        <v>47</v>
      </c>
      <c r="N204" s="446">
        <v>200</v>
      </c>
      <c r="O204" s="446"/>
      <c r="P204" s="446" t="s">
        <v>35</v>
      </c>
    </row>
    <row r="205" spans="1:16" s="31" customFormat="1" ht="60" customHeight="1" x14ac:dyDescent="0.15">
      <c r="A205" s="2">
        <v>5526</v>
      </c>
      <c r="B205" s="21">
        <v>42979</v>
      </c>
      <c r="C205" s="2" t="s">
        <v>918</v>
      </c>
      <c r="D205" s="10" t="s">
        <v>2725</v>
      </c>
      <c r="E205" s="4" t="s">
        <v>566</v>
      </c>
      <c r="F205" s="11" t="s">
        <v>568</v>
      </c>
      <c r="G205" s="11" t="s">
        <v>32</v>
      </c>
      <c r="H205" s="20" t="s">
        <v>2273</v>
      </c>
      <c r="I205" s="5" t="s">
        <v>24</v>
      </c>
      <c r="J205" s="20" t="s">
        <v>2188</v>
      </c>
      <c r="K205" s="576">
        <v>46265</v>
      </c>
      <c r="L205" s="747" t="s">
        <v>3199</v>
      </c>
      <c r="M205" s="495" t="s">
        <v>47</v>
      </c>
      <c r="N205" s="445"/>
      <c r="O205" s="445"/>
      <c r="P205" s="445"/>
    </row>
    <row r="206" spans="1:16" s="31" customFormat="1" ht="48" x14ac:dyDescent="0.15">
      <c r="A206" s="181">
        <v>5527</v>
      </c>
      <c r="B206" s="247">
        <v>42979</v>
      </c>
      <c r="C206" s="181" t="s">
        <v>919</v>
      </c>
      <c r="D206" s="191" t="s">
        <v>2725</v>
      </c>
      <c r="E206" s="184" t="s">
        <v>566</v>
      </c>
      <c r="F206" s="192" t="s">
        <v>569</v>
      </c>
      <c r="G206" s="184" t="s">
        <v>18</v>
      </c>
      <c r="H206" s="244" t="s">
        <v>570</v>
      </c>
      <c r="I206" s="185" t="s">
        <v>498</v>
      </c>
      <c r="J206" s="244" t="s">
        <v>678</v>
      </c>
      <c r="K206" s="581">
        <v>46265</v>
      </c>
      <c r="L206" s="747" t="s">
        <v>3199</v>
      </c>
      <c r="M206" s="495" t="s">
        <v>47</v>
      </c>
      <c r="N206" s="446"/>
      <c r="O206" s="446"/>
      <c r="P206" s="446"/>
    </row>
    <row r="207" spans="1:16" ht="120" x14ac:dyDescent="0.25">
      <c r="A207" s="207">
        <v>5528</v>
      </c>
      <c r="B207" s="257">
        <v>43070</v>
      </c>
      <c r="C207" s="242" t="s">
        <v>920</v>
      </c>
      <c r="D207" s="208" t="s">
        <v>2725</v>
      </c>
      <c r="E207" s="209" t="s">
        <v>571</v>
      </c>
      <c r="F207" s="210" t="s">
        <v>112</v>
      </c>
      <c r="G207" s="210" t="s">
        <v>1939</v>
      </c>
      <c r="H207" s="281" t="s">
        <v>2274</v>
      </c>
      <c r="I207" s="211" t="s">
        <v>33</v>
      </c>
      <c r="J207" s="281" t="s">
        <v>2158</v>
      </c>
      <c r="K207" s="584">
        <v>46327</v>
      </c>
      <c r="L207" s="413" t="s">
        <v>2810</v>
      </c>
      <c r="M207" s="281" t="s">
        <v>26</v>
      </c>
      <c r="N207" s="452" t="s">
        <v>572</v>
      </c>
      <c r="O207" s="452"/>
      <c r="P207" s="452"/>
    </row>
    <row r="208" spans="1:16" ht="96" x14ac:dyDescent="0.25">
      <c r="A208" s="217">
        <v>5529</v>
      </c>
      <c r="B208" s="255">
        <v>43101</v>
      </c>
      <c r="C208" s="243" t="s">
        <v>921</v>
      </c>
      <c r="D208" s="228" t="s">
        <v>2725</v>
      </c>
      <c r="E208" s="219" t="s">
        <v>573</v>
      </c>
      <c r="F208" s="205" t="s">
        <v>574</v>
      </c>
      <c r="G208" s="205" t="s">
        <v>84</v>
      </c>
      <c r="H208" s="282" t="s">
        <v>2488</v>
      </c>
      <c r="I208" s="220"/>
      <c r="J208" s="282" t="s">
        <v>678</v>
      </c>
      <c r="K208" s="588">
        <v>46366</v>
      </c>
      <c r="L208" s="412" t="s">
        <v>2887</v>
      </c>
      <c r="M208" s="282" t="s">
        <v>26</v>
      </c>
      <c r="N208" s="453" t="s">
        <v>2962</v>
      </c>
      <c r="O208" s="453"/>
      <c r="P208" s="453"/>
    </row>
    <row r="209" spans="1:16" ht="60" x14ac:dyDescent="0.25">
      <c r="A209" s="502">
        <v>5531</v>
      </c>
      <c r="B209" s="503">
        <v>43070</v>
      </c>
      <c r="C209" s="504" t="s">
        <v>923</v>
      </c>
      <c r="D209" s="505" t="s">
        <v>2726</v>
      </c>
      <c r="E209" s="506" t="s">
        <v>576</v>
      </c>
      <c r="F209" s="507">
        <v>280</v>
      </c>
      <c r="G209" s="506" t="s">
        <v>38</v>
      </c>
      <c r="H209" s="508" t="s">
        <v>2275</v>
      </c>
      <c r="I209" s="509" t="s">
        <v>60</v>
      </c>
      <c r="J209" s="508" t="s">
        <v>2158</v>
      </c>
      <c r="K209" s="598">
        <v>46346</v>
      </c>
      <c r="L209" s="683" t="s">
        <v>2809</v>
      </c>
      <c r="M209" s="510" t="s">
        <v>26</v>
      </c>
      <c r="N209" s="511">
        <v>150</v>
      </c>
      <c r="O209" s="511">
        <v>150</v>
      </c>
      <c r="P209" s="511" t="s">
        <v>35</v>
      </c>
    </row>
    <row r="210" spans="1:16" ht="60" x14ac:dyDescent="0.25">
      <c r="A210" s="183">
        <v>5533</v>
      </c>
      <c r="B210" s="247">
        <v>43101</v>
      </c>
      <c r="C210" s="181" t="s">
        <v>925</v>
      </c>
      <c r="D210" s="191" t="s">
        <v>2727</v>
      </c>
      <c r="E210" s="184" t="s">
        <v>578</v>
      </c>
      <c r="F210" s="192">
        <v>177</v>
      </c>
      <c r="G210" s="184" t="s">
        <v>131</v>
      </c>
      <c r="H210" s="244" t="s">
        <v>2276</v>
      </c>
      <c r="I210" s="185" t="s">
        <v>60</v>
      </c>
      <c r="J210" s="244" t="s">
        <v>2397</v>
      </c>
      <c r="K210" s="581">
        <v>46357</v>
      </c>
      <c r="L210" s="302" t="s">
        <v>2891</v>
      </c>
      <c r="M210" s="244" t="s">
        <v>26</v>
      </c>
      <c r="N210" s="446"/>
      <c r="O210" s="446"/>
      <c r="P210" s="446"/>
    </row>
    <row r="211" spans="1:16" ht="60" x14ac:dyDescent="0.25">
      <c r="A211" s="3">
        <v>5534</v>
      </c>
      <c r="B211" s="21">
        <v>43070</v>
      </c>
      <c r="C211" s="2" t="s">
        <v>1732</v>
      </c>
      <c r="D211" s="10" t="s">
        <v>2727</v>
      </c>
      <c r="E211" s="4" t="s">
        <v>579</v>
      </c>
      <c r="F211" s="11">
        <v>7</v>
      </c>
      <c r="G211" s="11" t="s">
        <v>2473</v>
      </c>
      <c r="H211" s="20"/>
      <c r="I211" s="5" t="s">
        <v>580</v>
      </c>
      <c r="J211" s="20" t="s">
        <v>678</v>
      </c>
      <c r="K211" s="576">
        <v>46320</v>
      </c>
      <c r="L211" s="410">
        <v>45955</v>
      </c>
      <c r="M211" s="20" t="s">
        <v>26</v>
      </c>
      <c r="N211" s="445"/>
      <c r="O211" s="445"/>
      <c r="P211" s="445"/>
    </row>
    <row r="212" spans="1:16" ht="48" customHeight="1" x14ac:dyDescent="0.25">
      <c r="A212" s="183">
        <v>5535</v>
      </c>
      <c r="B212" s="247">
        <v>43070</v>
      </c>
      <c r="C212" s="181" t="s">
        <v>926</v>
      </c>
      <c r="D212" s="191" t="s">
        <v>2727</v>
      </c>
      <c r="E212" s="184" t="s">
        <v>581</v>
      </c>
      <c r="F212" s="192" t="s">
        <v>582</v>
      </c>
      <c r="G212" s="184" t="s">
        <v>2229</v>
      </c>
      <c r="H212" s="244" t="s">
        <v>2798</v>
      </c>
      <c r="I212" s="185" t="s">
        <v>583</v>
      </c>
      <c r="J212" s="244" t="s">
        <v>678</v>
      </c>
      <c r="K212" s="581">
        <v>46357</v>
      </c>
      <c r="L212" s="302" t="s">
        <v>2891</v>
      </c>
      <c r="M212" s="244" t="s">
        <v>26</v>
      </c>
      <c r="N212" s="446"/>
      <c r="O212" s="446"/>
      <c r="P212" s="446"/>
    </row>
    <row r="213" spans="1:16" ht="78.75" customHeight="1" x14ac:dyDescent="0.25">
      <c r="A213" s="551">
        <v>5536</v>
      </c>
      <c r="B213" s="550">
        <v>43132</v>
      </c>
      <c r="C213" s="20" t="s">
        <v>927</v>
      </c>
      <c r="D213" s="552" t="s">
        <v>2727</v>
      </c>
      <c r="E213" s="5" t="s">
        <v>584</v>
      </c>
      <c r="F213" s="20" t="s">
        <v>585</v>
      </c>
      <c r="G213" s="544" t="s">
        <v>3198</v>
      </c>
      <c r="H213" s="20" t="s">
        <v>2580</v>
      </c>
      <c r="I213" s="5"/>
      <c r="J213" s="544" t="s">
        <v>2158</v>
      </c>
      <c r="K213" s="601">
        <v>46234</v>
      </c>
      <c r="L213" s="545" t="s">
        <v>3163</v>
      </c>
      <c r="M213" s="544" t="s">
        <v>52</v>
      </c>
      <c r="N213" s="445">
        <v>400</v>
      </c>
      <c r="O213" s="445"/>
      <c r="P213" s="445"/>
    </row>
    <row r="214" spans="1:16" ht="147" customHeight="1" x14ac:dyDescent="0.25">
      <c r="A214" s="217">
        <v>5537</v>
      </c>
      <c r="B214" s="255"/>
      <c r="C214" s="243" t="s">
        <v>586</v>
      </c>
      <c r="D214" s="228" t="s">
        <v>2725</v>
      </c>
      <c r="E214" s="219"/>
      <c r="F214" s="205"/>
      <c r="G214" s="219" t="s">
        <v>351</v>
      </c>
      <c r="H214" s="671" t="s">
        <v>3152</v>
      </c>
      <c r="I214" s="220" t="s">
        <v>118</v>
      </c>
      <c r="J214" s="282" t="s">
        <v>2158</v>
      </c>
      <c r="K214" s="588">
        <v>46327</v>
      </c>
      <c r="L214" s="412"/>
      <c r="M214" s="282"/>
      <c r="N214" s="453"/>
      <c r="O214" s="453"/>
      <c r="P214" s="453"/>
    </row>
    <row r="215" spans="1:16" ht="60" x14ac:dyDescent="0.25">
      <c r="A215" s="183">
        <v>5541</v>
      </c>
      <c r="B215" s="247">
        <v>43132</v>
      </c>
      <c r="C215" s="181" t="s">
        <v>931</v>
      </c>
      <c r="D215" s="191" t="s">
        <v>2727</v>
      </c>
      <c r="E215" s="184" t="s">
        <v>587</v>
      </c>
      <c r="F215" s="192">
        <v>59</v>
      </c>
      <c r="G215" s="192" t="s">
        <v>2926</v>
      </c>
      <c r="H215" s="244" t="s">
        <v>2495</v>
      </c>
      <c r="I215" s="185" t="s">
        <v>33</v>
      </c>
      <c r="J215" s="244" t="s">
        <v>2158</v>
      </c>
      <c r="K215" s="581">
        <v>46392</v>
      </c>
      <c r="L215" s="302" t="s">
        <v>2921</v>
      </c>
      <c r="M215" s="244" t="s">
        <v>26</v>
      </c>
      <c r="N215" s="446"/>
      <c r="O215" s="446"/>
      <c r="P215" s="446"/>
    </row>
    <row r="216" spans="1:16" ht="72" x14ac:dyDescent="0.25">
      <c r="A216" s="3">
        <v>5542</v>
      </c>
      <c r="B216" s="21">
        <v>43132</v>
      </c>
      <c r="C216" s="2" t="s">
        <v>932</v>
      </c>
      <c r="D216" s="10" t="s">
        <v>2727</v>
      </c>
      <c r="E216" s="4" t="s">
        <v>588</v>
      </c>
      <c r="F216" s="11">
        <v>48</v>
      </c>
      <c r="G216" s="4" t="s">
        <v>3214</v>
      </c>
      <c r="H216" s="20" t="s">
        <v>2621</v>
      </c>
      <c r="I216" s="564" t="s">
        <v>33</v>
      </c>
      <c r="J216" s="544" t="s">
        <v>678</v>
      </c>
      <c r="K216" s="601">
        <v>46478</v>
      </c>
      <c r="L216" s="410" t="s">
        <v>3025</v>
      </c>
      <c r="M216" s="20" t="s">
        <v>26</v>
      </c>
      <c r="N216" s="445"/>
      <c r="O216" s="445"/>
      <c r="P216" s="445"/>
    </row>
    <row r="217" spans="1:16" ht="48" x14ac:dyDescent="0.25">
      <c r="A217" s="183">
        <v>5544</v>
      </c>
      <c r="B217" s="247">
        <v>43191</v>
      </c>
      <c r="C217" s="181" t="s">
        <v>933</v>
      </c>
      <c r="D217" s="191" t="s">
        <v>2727</v>
      </c>
      <c r="E217" s="184" t="s">
        <v>589</v>
      </c>
      <c r="F217" s="192">
        <v>140</v>
      </c>
      <c r="G217" s="682" t="s">
        <v>2926</v>
      </c>
      <c r="H217" s="244" t="s">
        <v>2356</v>
      </c>
      <c r="I217" s="185" t="s">
        <v>33</v>
      </c>
      <c r="J217" s="244" t="s">
        <v>678</v>
      </c>
      <c r="K217" s="581">
        <v>46296</v>
      </c>
      <c r="L217" s="302">
        <v>45931</v>
      </c>
      <c r="M217" s="244" t="s">
        <v>47</v>
      </c>
      <c r="N217" s="446">
        <v>200</v>
      </c>
      <c r="O217" s="446"/>
      <c r="P217" s="446"/>
    </row>
    <row r="218" spans="1:16" ht="48" x14ac:dyDescent="0.25">
      <c r="A218" s="207">
        <v>5545</v>
      </c>
      <c r="B218" s="257">
        <v>43138</v>
      </c>
      <c r="C218" s="242" t="s">
        <v>934</v>
      </c>
      <c r="D218" s="208" t="s">
        <v>2725</v>
      </c>
      <c r="E218" s="209" t="s">
        <v>590</v>
      </c>
      <c r="F218" s="210">
        <v>17</v>
      </c>
      <c r="G218" s="210" t="s">
        <v>2951</v>
      </c>
      <c r="H218" s="281"/>
      <c r="I218" s="211" t="s">
        <v>498</v>
      </c>
      <c r="J218" s="281" t="s">
        <v>678</v>
      </c>
      <c r="K218" s="584">
        <v>46425</v>
      </c>
      <c r="L218" s="413" t="s">
        <v>2945</v>
      </c>
      <c r="M218" s="281" t="s">
        <v>26</v>
      </c>
      <c r="N218" s="452"/>
      <c r="O218" s="452"/>
      <c r="P218" s="452"/>
    </row>
    <row r="219" spans="1:16" s="189" customFormat="1" ht="108" x14ac:dyDescent="0.25">
      <c r="A219" s="285" t="s">
        <v>593</v>
      </c>
      <c r="B219" s="284">
        <v>43252</v>
      </c>
      <c r="C219" s="285" t="s">
        <v>2612</v>
      </c>
      <c r="D219" s="397" t="s">
        <v>2736</v>
      </c>
      <c r="E219" s="286" t="s">
        <v>594</v>
      </c>
      <c r="F219" s="287">
        <v>348</v>
      </c>
      <c r="G219" s="287" t="s">
        <v>2442</v>
      </c>
      <c r="H219" s="288" t="s">
        <v>1980</v>
      </c>
      <c r="I219" s="289" t="s">
        <v>60</v>
      </c>
      <c r="J219" s="288" t="s">
        <v>2158</v>
      </c>
      <c r="K219" s="846">
        <v>46234</v>
      </c>
      <c r="L219" s="736" t="s">
        <v>3163</v>
      </c>
      <c r="M219" s="731" t="s">
        <v>26</v>
      </c>
      <c r="N219" s="387">
        <v>200</v>
      </c>
      <c r="O219" s="387"/>
      <c r="P219" s="387"/>
    </row>
    <row r="220" spans="1:16" s="17" customFormat="1" ht="48" x14ac:dyDescent="0.25">
      <c r="A220" s="2" t="s">
        <v>2413</v>
      </c>
      <c r="B220" s="21">
        <v>43374</v>
      </c>
      <c r="C220" s="2" t="s">
        <v>937</v>
      </c>
      <c r="D220" s="10" t="s">
        <v>2725</v>
      </c>
      <c r="E220" s="4" t="s">
        <v>598</v>
      </c>
      <c r="F220" s="11" t="s">
        <v>599</v>
      </c>
      <c r="G220" s="4" t="s">
        <v>90</v>
      </c>
      <c r="H220" s="20" t="s">
        <v>2940</v>
      </c>
      <c r="I220" s="5" t="s">
        <v>228</v>
      </c>
      <c r="J220" s="20" t="s">
        <v>46</v>
      </c>
      <c r="K220" s="630">
        <v>46291</v>
      </c>
      <c r="L220" s="967">
        <v>46291</v>
      </c>
      <c r="M220" s="902" t="s">
        <v>26</v>
      </c>
      <c r="N220" s="445" t="s">
        <v>600</v>
      </c>
      <c r="O220" s="445" t="s">
        <v>601</v>
      </c>
      <c r="P220" s="445"/>
    </row>
    <row r="221" spans="1:16" ht="47.25" customHeight="1" x14ac:dyDescent="0.25">
      <c r="A221" s="183">
        <v>5551</v>
      </c>
      <c r="B221" s="247">
        <v>43374</v>
      </c>
      <c r="C221" s="181" t="s">
        <v>938</v>
      </c>
      <c r="D221" s="191" t="s">
        <v>2725</v>
      </c>
      <c r="E221" s="184" t="s">
        <v>598</v>
      </c>
      <c r="F221" s="192" t="s">
        <v>602</v>
      </c>
      <c r="G221" s="184" t="s">
        <v>90</v>
      </c>
      <c r="H221" s="244" t="s">
        <v>2941</v>
      </c>
      <c r="I221" s="185" t="s">
        <v>228</v>
      </c>
      <c r="J221" s="244" t="s">
        <v>46</v>
      </c>
      <c r="K221" s="596">
        <v>46291</v>
      </c>
      <c r="L221" s="969">
        <v>46291</v>
      </c>
      <c r="M221" s="911" t="s">
        <v>26</v>
      </c>
      <c r="N221" s="446" t="s">
        <v>600</v>
      </c>
      <c r="O221" s="446" t="s">
        <v>601</v>
      </c>
      <c r="P221" s="446"/>
    </row>
    <row r="222" spans="1:16" ht="36.75" customHeight="1" x14ac:dyDescent="0.25">
      <c r="A222" s="3">
        <v>5552</v>
      </c>
      <c r="B222" s="21">
        <v>43282</v>
      </c>
      <c r="C222" s="2" t="s">
        <v>939</v>
      </c>
      <c r="D222" s="10" t="s">
        <v>2730</v>
      </c>
      <c r="E222" s="4" t="s">
        <v>603</v>
      </c>
      <c r="F222" s="11" t="s">
        <v>604</v>
      </c>
      <c r="G222" s="4" t="s">
        <v>2235</v>
      </c>
      <c r="H222" s="20" t="s">
        <v>28</v>
      </c>
      <c r="I222" s="5" t="s">
        <v>33</v>
      </c>
      <c r="J222" s="20" t="s">
        <v>678</v>
      </c>
      <c r="K222" s="576">
        <v>46387</v>
      </c>
      <c r="L222" s="19">
        <v>45657</v>
      </c>
      <c r="M222" s="11" t="s">
        <v>26</v>
      </c>
      <c r="N222" s="13">
        <v>50</v>
      </c>
      <c r="O222" s="13"/>
      <c r="P222" s="13" t="s">
        <v>29</v>
      </c>
    </row>
    <row r="223" spans="1:16" ht="79.5" customHeight="1" x14ac:dyDescent="0.25">
      <c r="A223" s="183">
        <v>5553</v>
      </c>
      <c r="B223" s="247">
        <v>43313</v>
      </c>
      <c r="C223" s="181" t="s">
        <v>940</v>
      </c>
      <c r="D223" s="191" t="s">
        <v>2730</v>
      </c>
      <c r="E223" s="184" t="s">
        <v>605</v>
      </c>
      <c r="F223" s="192" t="s">
        <v>606</v>
      </c>
      <c r="G223" s="897" t="s">
        <v>3215</v>
      </c>
      <c r="H223" s="244" t="s">
        <v>2816</v>
      </c>
      <c r="I223" s="185" t="s">
        <v>33</v>
      </c>
      <c r="J223" s="244" t="s">
        <v>429</v>
      </c>
      <c r="K223" s="581">
        <v>46320</v>
      </c>
      <c r="L223" s="302">
        <v>45955</v>
      </c>
      <c r="M223" s="244" t="s">
        <v>47</v>
      </c>
      <c r="N223" s="446" t="s">
        <v>1955</v>
      </c>
      <c r="O223" s="446" t="s">
        <v>1956</v>
      </c>
      <c r="P223" s="446"/>
    </row>
    <row r="224" spans="1:16" s="17" customFormat="1" ht="48" x14ac:dyDescent="0.25">
      <c r="A224" s="181" t="s">
        <v>609</v>
      </c>
      <c r="B224" s="247">
        <v>43344</v>
      </c>
      <c r="C224" s="181" t="s">
        <v>942</v>
      </c>
      <c r="D224" s="191" t="s">
        <v>2727</v>
      </c>
      <c r="E224" s="184" t="s">
        <v>610</v>
      </c>
      <c r="F224" s="192" t="s">
        <v>611</v>
      </c>
      <c r="G224" s="184" t="s">
        <v>139</v>
      </c>
      <c r="H224" s="244" t="s">
        <v>2826</v>
      </c>
      <c r="I224" s="185" t="s">
        <v>60</v>
      </c>
      <c r="J224" s="244" t="s">
        <v>678</v>
      </c>
      <c r="K224" s="581">
        <v>46235</v>
      </c>
      <c r="L224" s="869" t="s">
        <v>3154</v>
      </c>
      <c r="M224" s="656" t="s">
        <v>26</v>
      </c>
      <c r="N224" s="446">
        <v>250</v>
      </c>
      <c r="O224" s="446">
        <v>250</v>
      </c>
      <c r="P224" s="446"/>
    </row>
    <row r="225" spans="1:16" s="17" customFormat="1" ht="108" x14ac:dyDescent="0.25">
      <c r="A225" s="2" t="s">
        <v>612</v>
      </c>
      <c r="B225" s="21">
        <v>43282</v>
      </c>
      <c r="C225" s="2" t="s">
        <v>943</v>
      </c>
      <c r="D225" s="10" t="s">
        <v>2755</v>
      </c>
      <c r="E225" s="4" t="s">
        <v>613</v>
      </c>
      <c r="F225" s="11" t="s">
        <v>614</v>
      </c>
      <c r="G225" s="4" t="s">
        <v>500</v>
      </c>
      <c r="H225" s="20" t="s">
        <v>2560</v>
      </c>
      <c r="I225" s="5" t="s">
        <v>33</v>
      </c>
      <c r="J225" s="20" t="s">
        <v>429</v>
      </c>
      <c r="K225" s="601">
        <v>46477</v>
      </c>
      <c r="L225" s="410" t="s">
        <v>3009</v>
      </c>
      <c r="M225" s="20" t="s">
        <v>26</v>
      </c>
      <c r="N225" s="445"/>
      <c r="O225" s="445"/>
      <c r="P225" s="445"/>
    </row>
    <row r="226" spans="1:16" s="32" customFormat="1" ht="41.25" customHeight="1" x14ac:dyDescent="0.2">
      <c r="A226" s="183">
        <v>5557</v>
      </c>
      <c r="B226" s="247">
        <v>43313</v>
      </c>
      <c r="C226" s="181" t="s">
        <v>944</v>
      </c>
      <c r="D226" s="191" t="s">
        <v>2727</v>
      </c>
      <c r="E226" s="184" t="s">
        <v>615</v>
      </c>
      <c r="F226" s="192" t="s">
        <v>1950</v>
      </c>
      <c r="G226" s="184" t="s">
        <v>2041</v>
      </c>
      <c r="H226" s="244" t="s">
        <v>2824</v>
      </c>
      <c r="I226" s="244" t="s">
        <v>228</v>
      </c>
      <c r="J226" s="244" t="s">
        <v>678</v>
      </c>
      <c r="K226" s="581">
        <v>46322</v>
      </c>
      <c r="L226" s="302">
        <v>45957</v>
      </c>
      <c r="M226" s="244" t="s">
        <v>26</v>
      </c>
      <c r="N226" s="446"/>
      <c r="O226" s="446"/>
      <c r="P226" s="446" t="s">
        <v>29</v>
      </c>
    </row>
    <row r="227" spans="1:16" s="32" customFormat="1" ht="60" customHeight="1" x14ac:dyDescent="0.2">
      <c r="A227" s="3">
        <v>5558</v>
      </c>
      <c r="B227" s="21">
        <v>43405</v>
      </c>
      <c r="C227" s="2" t="s">
        <v>945</v>
      </c>
      <c r="D227" s="10" t="s">
        <v>2730</v>
      </c>
      <c r="E227" s="4" t="s">
        <v>617</v>
      </c>
      <c r="F227" s="11" t="s">
        <v>618</v>
      </c>
      <c r="G227" s="4" t="s">
        <v>2229</v>
      </c>
      <c r="H227" s="20" t="s">
        <v>2636</v>
      </c>
      <c r="I227" s="20"/>
      <c r="J227" s="20" t="s">
        <v>678</v>
      </c>
      <c r="K227" s="576">
        <v>46265</v>
      </c>
      <c r="L227" s="410" t="s">
        <v>3199</v>
      </c>
      <c r="M227" s="20" t="s">
        <v>26</v>
      </c>
      <c r="N227" s="445">
        <v>200</v>
      </c>
      <c r="O227" s="445" t="s">
        <v>1731</v>
      </c>
      <c r="P227" s="445"/>
    </row>
    <row r="228" spans="1:16" s="32" customFormat="1" ht="60" customHeight="1" x14ac:dyDescent="0.2">
      <c r="A228" s="3">
        <v>5560</v>
      </c>
      <c r="B228" s="21">
        <v>43374</v>
      </c>
      <c r="C228" s="2" t="s">
        <v>947</v>
      </c>
      <c r="D228" s="10" t="s">
        <v>2726</v>
      </c>
      <c r="E228" s="4" t="s">
        <v>621</v>
      </c>
      <c r="F228" s="11" t="s">
        <v>622</v>
      </c>
      <c r="G228" s="4" t="s">
        <v>139</v>
      </c>
      <c r="H228" s="20" t="s">
        <v>3070</v>
      </c>
      <c r="I228" s="20" t="s">
        <v>33</v>
      </c>
      <c r="J228" s="20" t="s">
        <v>678</v>
      </c>
      <c r="K228" s="576">
        <v>46447</v>
      </c>
      <c r="L228" s="410" t="s">
        <v>2997</v>
      </c>
      <c r="M228" s="20" t="s">
        <v>26</v>
      </c>
      <c r="N228" s="445">
        <v>200</v>
      </c>
      <c r="O228" s="445" t="s">
        <v>28</v>
      </c>
      <c r="P228" s="445"/>
    </row>
    <row r="229" spans="1:16" s="17" customFormat="1" ht="63.75" customHeight="1" x14ac:dyDescent="0.25">
      <c r="A229" s="181" t="s">
        <v>1957</v>
      </c>
      <c r="B229" s="247">
        <v>43374</v>
      </c>
      <c r="C229" s="181" t="s">
        <v>950</v>
      </c>
      <c r="D229" s="191" t="s">
        <v>2725</v>
      </c>
      <c r="E229" s="184" t="s">
        <v>626</v>
      </c>
      <c r="F229" s="192" t="s">
        <v>627</v>
      </c>
      <c r="G229" s="184" t="s">
        <v>2041</v>
      </c>
      <c r="H229" s="244" t="s">
        <v>2277</v>
      </c>
      <c r="I229" s="244" t="s">
        <v>33</v>
      </c>
      <c r="J229" s="244" t="s">
        <v>2158</v>
      </c>
      <c r="K229" s="583">
        <v>46478</v>
      </c>
      <c r="L229" s="410" t="s">
        <v>3025</v>
      </c>
      <c r="M229" s="20" t="s">
        <v>47</v>
      </c>
      <c r="N229" s="446">
        <v>300</v>
      </c>
      <c r="O229" s="446" t="s">
        <v>1731</v>
      </c>
      <c r="P229" s="446" t="s">
        <v>29</v>
      </c>
    </row>
    <row r="230" spans="1:16" s="32" customFormat="1" ht="60" customHeight="1" x14ac:dyDescent="0.2">
      <c r="A230" s="3">
        <v>5564</v>
      </c>
      <c r="B230" s="21">
        <v>43313</v>
      </c>
      <c r="C230" s="2" t="s">
        <v>951</v>
      </c>
      <c r="D230" s="10" t="s">
        <v>2727</v>
      </c>
      <c r="E230" s="4" t="s">
        <v>615</v>
      </c>
      <c r="F230" s="11" t="s">
        <v>616</v>
      </c>
      <c r="G230" s="4" t="s">
        <v>2041</v>
      </c>
      <c r="H230" s="20" t="s">
        <v>2524</v>
      </c>
      <c r="I230" s="20" t="s">
        <v>228</v>
      </c>
      <c r="J230" s="20" t="s">
        <v>678</v>
      </c>
      <c r="K230" s="576">
        <v>46322</v>
      </c>
      <c r="L230" s="410">
        <v>45957</v>
      </c>
      <c r="M230" s="20" t="s">
        <v>26</v>
      </c>
      <c r="N230" s="445" t="s">
        <v>1961</v>
      </c>
      <c r="O230" s="445" t="s">
        <v>628</v>
      </c>
      <c r="P230" s="445"/>
    </row>
    <row r="231" spans="1:16" s="32" customFormat="1" ht="60" customHeight="1" x14ac:dyDescent="0.2">
      <c r="A231" s="183">
        <v>5565</v>
      </c>
      <c r="B231" s="247">
        <v>43313</v>
      </c>
      <c r="C231" s="181" t="s">
        <v>952</v>
      </c>
      <c r="D231" s="191" t="s">
        <v>2727</v>
      </c>
      <c r="E231" s="184" t="s">
        <v>615</v>
      </c>
      <c r="F231" s="192" t="s">
        <v>1949</v>
      </c>
      <c r="G231" s="184" t="s">
        <v>2041</v>
      </c>
      <c r="H231" s="244"/>
      <c r="I231" s="244" t="s">
        <v>228</v>
      </c>
      <c r="J231" s="244" t="s">
        <v>678</v>
      </c>
      <c r="K231" s="581">
        <v>46322</v>
      </c>
      <c r="L231" s="302">
        <v>45957</v>
      </c>
      <c r="M231" s="244" t="s">
        <v>26</v>
      </c>
      <c r="N231" s="446"/>
      <c r="O231" s="446"/>
      <c r="P231" s="446"/>
    </row>
    <row r="232" spans="1:16" s="32" customFormat="1" ht="118.5" customHeight="1" x14ac:dyDescent="0.2">
      <c r="A232" s="3">
        <v>5566</v>
      </c>
      <c r="B232" s="21">
        <v>43374</v>
      </c>
      <c r="C232" s="2" t="s">
        <v>2378</v>
      </c>
      <c r="D232" s="524" t="s">
        <v>2727</v>
      </c>
      <c r="E232" s="563" t="s">
        <v>629</v>
      </c>
      <c r="F232" s="538" t="s">
        <v>630</v>
      </c>
      <c r="G232" s="563" t="s">
        <v>139</v>
      </c>
      <c r="H232" s="544" t="s">
        <v>3112</v>
      </c>
      <c r="I232" s="544" t="s">
        <v>33</v>
      </c>
      <c r="J232" s="544" t="s">
        <v>2158</v>
      </c>
      <c r="K232" s="601">
        <v>46278</v>
      </c>
      <c r="L232" s="967">
        <v>46278</v>
      </c>
      <c r="M232" s="902" t="s">
        <v>26</v>
      </c>
      <c r="N232" s="746">
        <v>250</v>
      </c>
      <c r="O232" s="13"/>
      <c r="P232" s="13" t="s">
        <v>35</v>
      </c>
    </row>
    <row r="233" spans="1:16" s="32" customFormat="1" ht="60" customHeight="1" x14ac:dyDescent="0.2">
      <c r="A233" s="498">
        <v>5567</v>
      </c>
      <c r="B233" s="490">
        <v>43374</v>
      </c>
      <c r="C233" s="489" t="s">
        <v>953</v>
      </c>
      <c r="D233" s="491" t="s">
        <v>2726</v>
      </c>
      <c r="E233" s="492" t="s">
        <v>631</v>
      </c>
      <c r="F233" s="493" t="s">
        <v>632</v>
      </c>
      <c r="G233" s="492" t="s">
        <v>1846</v>
      </c>
      <c r="H233" s="495" t="s">
        <v>2975</v>
      </c>
      <c r="I233" s="495" t="s">
        <v>633</v>
      </c>
      <c r="J233" s="495" t="s">
        <v>678</v>
      </c>
      <c r="K233" s="583">
        <v>46203</v>
      </c>
      <c r="L233" s="747" t="s">
        <v>3122</v>
      </c>
      <c r="M233" s="495" t="s">
        <v>52</v>
      </c>
      <c r="N233" s="561"/>
      <c r="O233" s="561"/>
      <c r="P233" s="561"/>
    </row>
    <row r="234" spans="1:16" s="32" customFormat="1" ht="103.5" customHeight="1" x14ac:dyDescent="0.2">
      <c r="A234" s="217">
        <v>5571</v>
      </c>
      <c r="B234" s="255">
        <v>43525</v>
      </c>
      <c r="C234" s="243" t="s">
        <v>2309</v>
      </c>
      <c r="D234" s="205" t="s">
        <v>2727</v>
      </c>
      <c r="E234" s="219" t="s">
        <v>644</v>
      </c>
      <c r="F234" s="205" t="s">
        <v>645</v>
      </c>
      <c r="G234" s="849" t="s">
        <v>80</v>
      </c>
      <c r="H234" s="676" t="s">
        <v>3066</v>
      </c>
      <c r="I234" s="282" t="s">
        <v>33</v>
      </c>
      <c r="J234" s="282" t="s">
        <v>678</v>
      </c>
      <c r="K234" s="588">
        <v>46424</v>
      </c>
      <c r="L234" s="412" t="s">
        <v>2943</v>
      </c>
      <c r="M234" s="282" t="s">
        <v>52</v>
      </c>
      <c r="N234" s="453"/>
      <c r="O234" s="453"/>
      <c r="P234" s="453"/>
    </row>
    <row r="235" spans="1:16" s="32" customFormat="1" ht="60" customHeight="1" x14ac:dyDescent="0.2">
      <c r="A235" s="3">
        <v>5573</v>
      </c>
      <c r="B235" s="21"/>
      <c r="C235" s="2" t="s">
        <v>956</v>
      </c>
      <c r="D235" s="10" t="s">
        <v>2725</v>
      </c>
      <c r="E235" s="4" t="s">
        <v>598</v>
      </c>
      <c r="F235" s="11" t="s">
        <v>646</v>
      </c>
      <c r="G235" s="4" t="s">
        <v>90</v>
      </c>
      <c r="H235" s="20" t="s">
        <v>2942</v>
      </c>
      <c r="I235" s="5" t="s">
        <v>228</v>
      </c>
      <c r="J235" s="20" t="s">
        <v>46</v>
      </c>
      <c r="K235" s="576">
        <v>46291</v>
      </c>
      <c r="L235" s="967">
        <v>46291</v>
      </c>
      <c r="M235" s="902" t="s">
        <v>26</v>
      </c>
      <c r="N235" s="445"/>
      <c r="O235" s="445"/>
      <c r="P235" s="445"/>
    </row>
    <row r="236" spans="1:16" s="32" customFormat="1" ht="60" customHeight="1" x14ac:dyDescent="0.2">
      <c r="A236" s="183">
        <v>5574</v>
      </c>
      <c r="B236" s="247">
        <v>43497</v>
      </c>
      <c r="C236" s="181" t="s">
        <v>957</v>
      </c>
      <c r="D236" s="191" t="s">
        <v>2725</v>
      </c>
      <c r="E236" s="184" t="s">
        <v>647</v>
      </c>
      <c r="F236" s="192" t="s">
        <v>648</v>
      </c>
      <c r="G236" s="493" t="s">
        <v>3156</v>
      </c>
      <c r="H236" s="244" t="s">
        <v>1860</v>
      </c>
      <c r="I236" s="185" t="s">
        <v>228</v>
      </c>
      <c r="J236" s="244" t="s">
        <v>678</v>
      </c>
      <c r="K236" s="581">
        <v>46388</v>
      </c>
      <c r="L236" s="302" t="s">
        <v>2915</v>
      </c>
      <c r="M236" s="244" t="s">
        <v>52</v>
      </c>
      <c r="N236" s="446"/>
      <c r="O236" s="446"/>
      <c r="P236" s="446"/>
    </row>
    <row r="237" spans="1:16" s="32" customFormat="1" ht="60" customHeight="1" x14ac:dyDescent="0.2">
      <c r="A237" s="3">
        <v>5575</v>
      </c>
      <c r="B237" s="21">
        <v>43497</v>
      </c>
      <c r="C237" s="2" t="s">
        <v>958</v>
      </c>
      <c r="D237" s="10" t="s">
        <v>2725</v>
      </c>
      <c r="E237" s="4" t="s">
        <v>647</v>
      </c>
      <c r="F237" s="11" t="s">
        <v>649</v>
      </c>
      <c r="G237" s="538" t="s">
        <v>3156</v>
      </c>
      <c r="H237" s="20" t="s">
        <v>1860</v>
      </c>
      <c r="I237" s="5" t="s">
        <v>228</v>
      </c>
      <c r="J237" s="20" t="s">
        <v>678</v>
      </c>
      <c r="K237" s="576">
        <v>46388</v>
      </c>
      <c r="L237" s="410" t="s">
        <v>2915</v>
      </c>
      <c r="M237" s="20" t="s">
        <v>52</v>
      </c>
      <c r="N237" s="445" t="s">
        <v>1928</v>
      </c>
      <c r="O237" s="445" t="s">
        <v>1928</v>
      </c>
      <c r="P237" s="445"/>
    </row>
    <row r="238" spans="1:16" s="17" customFormat="1" ht="63.75" customHeight="1" x14ac:dyDescent="0.25">
      <c r="A238" s="2" t="s">
        <v>2882</v>
      </c>
      <c r="B238" s="246">
        <v>45292</v>
      </c>
      <c r="C238" s="11" t="s">
        <v>2251</v>
      </c>
      <c r="D238" s="10" t="s">
        <v>2725</v>
      </c>
      <c r="E238" s="4" t="s">
        <v>1001</v>
      </c>
      <c r="F238" s="11" t="s">
        <v>1001</v>
      </c>
      <c r="G238" s="11" t="s">
        <v>189</v>
      </c>
      <c r="H238" s="20"/>
      <c r="I238" s="17" t="s">
        <v>2252</v>
      </c>
      <c r="J238" s="20" t="s">
        <v>3027</v>
      </c>
      <c r="K238" s="583">
        <v>46400</v>
      </c>
      <c r="L238" s="410"/>
      <c r="M238" s="20"/>
      <c r="N238" s="445"/>
      <c r="O238" s="445"/>
      <c r="P238" s="445"/>
    </row>
    <row r="239" spans="1:16" s="520" customFormat="1" ht="60" customHeight="1" x14ac:dyDescent="0.2">
      <c r="A239" s="183">
        <v>5578</v>
      </c>
      <c r="B239" s="247">
        <v>42064</v>
      </c>
      <c r="C239" s="181" t="s">
        <v>959</v>
      </c>
      <c r="D239" s="191" t="s">
        <v>2727</v>
      </c>
      <c r="E239" s="184" t="s">
        <v>434</v>
      </c>
      <c r="F239" s="184" t="s">
        <v>650</v>
      </c>
      <c r="G239" s="205" t="s">
        <v>2571</v>
      </c>
      <c r="H239" s="244" t="s">
        <v>2407</v>
      </c>
      <c r="I239" s="185" t="s">
        <v>435</v>
      </c>
      <c r="J239" s="244" t="s">
        <v>2978</v>
      </c>
      <c r="K239" s="581">
        <v>46387</v>
      </c>
      <c r="L239" s="302" t="s">
        <v>2857</v>
      </c>
      <c r="M239" s="244" t="s">
        <v>26</v>
      </c>
      <c r="N239" s="446"/>
      <c r="O239" s="446"/>
      <c r="P239" s="446"/>
    </row>
    <row r="240" spans="1:16" s="32" customFormat="1" ht="60" customHeight="1" x14ac:dyDescent="0.2">
      <c r="A240" s="303">
        <v>5579</v>
      </c>
      <c r="B240" s="304">
        <v>43525</v>
      </c>
      <c r="C240" s="305" t="s">
        <v>960</v>
      </c>
      <c r="D240" s="10" t="s">
        <v>2727</v>
      </c>
      <c r="E240" s="189" t="s">
        <v>651</v>
      </c>
      <c r="F240" s="189" t="s">
        <v>652</v>
      </c>
      <c r="G240" s="273" t="s">
        <v>2041</v>
      </c>
      <c r="H240" s="349" t="s">
        <v>2525</v>
      </c>
      <c r="I240" s="17" t="s">
        <v>33</v>
      </c>
      <c r="J240" s="349" t="s">
        <v>678</v>
      </c>
      <c r="K240" s="579">
        <v>46397</v>
      </c>
      <c r="L240" s="572" t="s">
        <v>2913</v>
      </c>
      <c r="M240" s="20" t="s">
        <v>52</v>
      </c>
      <c r="N240" s="459" t="s">
        <v>2579</v>
      </c>
      <c r="O240" s="459">
        <v>0</v>
      </c>
      <c r="P240" s="459" t="s">
        <v>29</v>
      </c>
    </row>
    <row r="241" spans="1:16" s="32" customFormat="1" ht="60" customHeight="1" x14ac:dyDescent="0.2">
      <c r="A241" s="308">
        <v>5580</v>
      </c>
      <c r="B241" s="309">
        <v>43497</v>
      </c>
      <c r="C241" s="239" t="s">
        <v>961</v>
      </c>
      <c r="D241" s="191" t="s">
        <v>2727</v>
      </c>
      <c r="E241" s="187" t="s">
        <v>653</v>
      </c>
      <c r="F241" s="310" t="s">
        <v>654</v>
      </c>
      <c r="G241" s="310" t="s">
        <v>2444</v>
      </c>
      <c r="H241" s="351" t="s">
        <v>1993</v>
      </c>
      <c r="I241" s="185" t="s">
        <v>39</v>
      </c>
      <c r="J241" s="351" t="s">
        <v>678</v>
      </c>
      <c r="K241" s="589">
        <v>46396</v>
      </c>
      <c r="L241" s="426" t="s">
        <v>2917</v>
      </c>
      <c r="M241" s="244" t="s">
        <v>52</v>
      </c>
      <c r="N241" s="460"/>
      <c r="O241" s="460"/>
      <c r="P241" s="460"/>
    </row>
    <row r="242" spans="1:16" s="795" customFormat="1" ht="60" x14ac:dyDescent="0.25">
      <c r="A242" s="784">
        <v>5582</v>
      </c>
      <c r="B242" s="785">
        <v>43586</v>
      </c>
      <c r="C242" s="786" t="s">
        <v>963</v>
      </c>
      <c r="D242" s="787" t="s">
        <v>2732</v>
      </c>
      <c r="E242" s="788" t="s">
        <v>657</v>
      </c>
      <c r="F242" s="789" t="s">
        <v>658</v>
      </c>
      <c r="G242" s="789" t="s">
        <v>2926</v>
      </c>
      <c r="H242" s="790"/>
      <c r="I242" s="791" t="s">
        <v>33</v>
      </c>
      <c r="J242" s="518" t="s">
        <v>2158</v>
      </c>
      <c r="K242" s="580">
        <v>46478</v>
      </c>
      <c r="L242" s="792" t="s">
        <v>3025</v>
      </c>
      <c r="M242" s="793" t="s">
        <v>52</v>
      </c>
      <c r="N242" s="794">
        <v>100</v>
      </c>
      <c r="O242" s="794">
        <v>100</v>
      </c>
      <c r="P242" s="794"/>
    </row>
    <row r="243" spans="1:16" ht="96" x14ac:dyDescent="0.25">
      <c r="A243" s="294">
        <v>5583</v>
      </c>
      <c r="B243" s="295">
        <v>43556</v>
      </c>
      <c r="C243" s="296" t="s">
        <v>964</v>
      </c>
      <c r="D243" s="395" t="s">
        <v>2730</v>
      </c>
      <c r="E243" s="297" t="s">
        <v>660</v>
      </c>
      <c r="F243" s="298" t="s">
        <v>661</v>
      </c>
      <c r="G243" s="298" t="s">
        <v>139</v>
      </c>
      <c r="H243" s="299" t="s">
        <v>2641</v>
      </c>
      <c r="I243" s="300" t="s">
        <v>33</v>
      </c>
      <c r="J243" s="299" t="s">
        <v>678</v>
      </c>
      <c r="K243" s="586">
        <v>46467</v>
      </c>
      <c r="L243" s="424" t="s">
        <v>3012</v>
      </c>
      <c r="M243" s="299" t="s">
        <v>52</v>
      </c>
      <c r="N243" s="461">
        <v>200</v>
      </c>
      <c r="O243" s="461">
        <v>0</v>
      </c>
      <c r="P243" s="461"/>
    </row>
    <row r="244" spans="1:16" s="795" customFormat="1" ht="108" x14ac:dyDescent="0.25">
      <c r="A244" s="796">
        <v>5585</v>
      </c>
      <c r="B244" s="797">
        <v>43586</v>
      </c>
      <c r="C244" s="798" t="s">
        <v>965</v>
      </c>
      <c r="D244" s="357" t="s">
        <v>2727</v>
      </c>
      <c r="E244" s="799" t="s">
        <v>664</v>
      </c>
      <c r="F244" s="800" t="s">
        <v>665</v>
      </c>
      <c r="G244" s="800" t="s">
        <v>1846</v>
      </c>
      <c r="H244" s="801" t="s">
        <v>2976</v>
      </c>
      <c r="I244" s="802" t="s">
        <v>33</v>
      </c>
      <c r="J244" s="803" t="s">
        <v>46</v>
      </c>
      <c r="K244" s="804">
        <v>46466</v>
      </c>
      <c r="L244" s="805" t="s">
        <v>3010</v>
      </c>
      <c r="M244" s="803" t="s">
        <v>52</v>
      </c>
      <c r="N244" s="806"/>
      <c r="O244" s="806"/>
      <c r="P244" s="806"/>
    </row>
    <row r="245" spans="1:16" s="31" customFormat="1" ht="120" x14ac:dyDescent="0.15">
      <c r="A245" s="303">
        <v>5587</v>
      </c>
      <c r="B245" s="304">
        <v>43589</v>
      </c>
      <c r="C245" s="305" t="s">
        <v>967</v>
      </c>
      <c r="D245" s="10" t="s">
        <v>2726</v>
      </c>
      <c r="E245" s="189" t="s">
        <v>668</v>
      </c>
      <c r="F245" s="273" t="s">
        <v>669</v>
      </c>
      <c r="G245" s="273" t="s">
        <v>90</v>
      </c>
      <c r="H245" s="349" t="s">
        <v>2859</v>
      </c>
      <c r="I245" s="17" t="s">
        <v>33</v>
      </c>
      <c r="J245" s="349" t="s">
        <v>678</v>
      </c>
      <c r="K245" s="579">
        <v>46334</v>
      </c>
      <c r="L245" s="425" t="s">
        <v>2797</v>
      </c>
      <c r="M245" s="20" t="s">
        <v>26</v>
      </c>
      <c r="N245" s="459">
        <v>300</v>
      </c>
      <c r="O245" s="459"/>
      <c r="P245" s="459"/>
    </row>
    <row r="246" spans="1:16" ht="180" x14ac:dyDescent="0.25">
      <c r="A246" s="308">
        <v>5590</v>
      </c>
      <c r="B246" s="309">
        <v>43648</v>
      </c>
      <c r="C246" s="239" t="s">
        <v>3028</v>
      </c>
      <c r="D246" s="191" t="s">
        <v>2737</v>
      </c>
      <c r="E246" s="187" t="s">
        <v>673</v>
      </c>
      <c r="F246" s="310" t="s">
        <v>674</v>
      </c>
      <c r="G246" s="310" t="s">
        <v>213</v>
      </c>
      <c r="H246" s="351" t="s">
        <v>2994</v>
      </c>
      <c r="I246" s="198" t="s">
        <v>56</v>
      </c>
      <c r="J246" s="351" t="s">
        <v>2158</v>
      </c>
      <c r="K246" s="589">
        <v>46204</v>
      </c>
      <c r="L246" s="840" t="s">
        <v>3132</v>
      </c>
      <c r="M246" s="518" t="s">
        <v>26</v>
      </c>
      <c r="N246" s="460"/>
      <c r="O246" s="460"/>
      <c r="P246" s="460"/>
    </row>
    <row r="247" spans="1:16" s="17" customFormat="1" ht="48" x14ac:dyDescent="0.25">
      <c r="A247" s="305" t="s">
        <v>679</v>
      </c>
      <c r="B247" s="304">
        <v>43678</v>
      </c>
      <c r="C247" s="305" t="s">
        <v>973</v>
      </c>
      <c r="D247" s="10" t="s">
        <v>2727</v>
      </c>
      <c r="E247" s="189" t="s">
        <v>680</v>
      </c>
      <c r="F247" s="273" t="s">
        <v>239</v>
      </c>
      <c r="G247" s="273" t="s">
        <v>2322</v>
      </c>
      <c r="H247" s="349" t="s">
        <v>681</v>
      </c>
      <c r="I247" s="17" t="s">
        <v>33</v>
      </c>
      <c r="J247" s="349" t="s">
        <v>678</v>
      </c>
      <c r="K247" s="579">
        <v>46255</v>
      </c>
      <c r="L247" s="568" t="s">
        <v>3186</v>
      </c>
      <c r="M247" s="544" t="s">
        <v>47</v>
      </c>
      <c r="N247" s="459"/>
      <c r="O247" s="459"/>
      <c r="P247" s="459"/>
    </row>
    <row r="248" spans="1:16" s="17" customFormat="1" ht="96" x14ac:dyDescent="0.25">
      <c r="A248" s="243" t="s">
        <v>682</v>
      </c>
      <c r="B248" s="255">
        <v>43739</v>
      </c>
      <c r="C248" s="243" t="s">
        <v>974</v>
      </c>
      <c r="D248" s="228" t="s">
        <v>2727</v>
      </c>
      <c r="E248" s="219" t="s">
        <v>683</v>
      </c>
      <c r="F248" s="205" t="s">
        <v>684</v>
      </c>
      <c r="G248" s="205" t="s">
        <v>202</v>
      </c>
      <c r="H248" s="282" t="s">
        <v>2278</v>
      </c>
      <c r="I248" s="220" t="s">
        <v>60</v>
      </c>
      <c r="J248" s="282" t="s">
        <v>678</v>
      </c>
      <c r="K248" s="588">
        <v>46270</v>
      </c>
      <c r="L248" s="960">
        <v>46270</v>
      </c>
      <c r="M248" s="908" t="s">
        <v>52</v>
      </c>
      <c r="N248" s="453" t="s">
        <v>1772</v>
      </c>
      <c r="O248" s="453"/>
      <c r="P248" s="453"/>
    </row>
    <row r="249" spans="1:16" ht="96" x14ac:dyDescent="0.25">
      <c r="A249" s="303">
        <v>5595</v>
      </c>
      <c r="B249" s="304">
        <v>43739</v>
      </c>
      <c r="C249" s="305" t="s">
        <v>975</v>
      </c>
      <c r="D249" s="10" t="s">
        <v>2731</v>
      </c>
      <c r="E249" s="189" t="s">
        <v>685</v>
      </c>
      <c r="F249" s="273" t="s">
        <v>686</v>
      </c>
      <c r="G249" s="273" t="s">
        <v>131</v>
      </c>
      <c r="H249" s="349" t="s">
        <v>3006</v>
      </c>
      <c r="I249" s="17"/>
      <c r="J249" s="349" t="s">
        <v>2158</v>
      </c>
      <c r="K249" s="579">
        <v>46281</v>
      </c>
      <c r="L249" s="933" t="s">
        <v>3127</v>
      </c>
      <c r="M249" s="925" t="s">
        <v>47</v>
      </c>
      <c r="N249" s="459"/>
      <c r="O249" s="459"/>
      <c r="P249" s="459"/>
    </row>
    <row r="250" spans="1:16" ht="89.25" customHeight="1" x14ac:dyDescent="0.25">
      <c r="A250" s="217">
        <v>5596</v>
      </c>
      <c r="B250" s="255">
        <v>43862</v>
      </c>
      <c r="C250" s="243" t="s">
        <v>976</v>
      </c>
      <c r="D250" s="228" t="s">
        <v>2725</v>
      </c>
      <c r="E250" s="219" t="s">
        <v>687</v>
      </c>
      <c r="F250" s="205" t="s">
        <v>317</v>
      </c>
      <c r="G250" s="205" t="s">
        <v>84</v>
      </c>
      <c r="H250" s="282" t="s">
        <v>2489</v>
      </c>
      <c r="I250" s="220"/>
      <c r="J250" s="282" t="s">
        <v>429</v>
      </c>
      <c r="K250" s="588">
        <v>46334</v>
      </c>
      <c r="L250" s="412" t="s">
        <v>2797</v>
      </c>
      <c r="M250" s="282" t="s">
        <v>47</v>
      </c>
      <c r="N250" s="453" t="s">
        <v>1667</v>
      </c>
      <c r="O250" s="453" t="s">
        <v>1731</v>
      </c>
      <c r="P250" s="453"/>
    </row>
    <row r="251" spans="1:16" s="17" customFormat="1" ht="68.25" customHeight="1" x14ac:dyDescent="0.25">
      <c r="A251" s="242" t="s">
        <v>1905</v>
      </c>
      <c r="B251" s="257">
        <v>43862</v>
      </c>
      <c r="C251" s="242" t="s">
        <v>977</v>
      </c>
      <c r="D251" s="208" t="s">
        <v>2725</v>
      </c>
      <c r="E251" s="209" t="s">
        <v>688</v>
      </c>
      <c r="F251" s="210" t="s">
        <v>689</v>
      </c>
      <c r="G251" s="210" t="s">
        <v>90</v>
      </c>
      <c r="H251" s="281" t="s">
        <v>2600</v>
      </c>
      <c r="I251" s="211"/>
      <c r="J251" s="281" t="s">
        <v>678</v>
      </c>
      <c r="K251" s="584">
        <v>46334</v>
      </c>
      <c r="L251" s="413">
        <v>45969</v>
      </c>
      <c r="M251" s="281" t="s">
        <v>47</v>
      </c>
      <c r="N251" s="452">
        <v>400</v>
      </c>
      <c r="O251" s="452">
        <v>0</v>
      </c>
      <c r="P251" s="452"/>
    </row>
    <row r="252" spans="1:16" ht="96" x14ac:dyDescent="0.25">
      <c r="A252" s="556">
        <v>5598</v>
      </c>
      <c r="B252" s="557"/>
      <c r="C252" s="558" t="s">
        <v>690</v>
      </c>
      <c r="D252" s="282" t="s">
        <v>2727</v>
      </c>
      <c r="E252" s="220" t="s">
        <v>691</v>
      </c>
      <c r="F252" s="282"/>
      <c r="G252" s="282" t="s">
        <v>2832</v>
      </c>
      <c r="H252" s="282" t="s">
        <v>2686</v>
      </c>
      <c r="I252" s="220"/>
      <c r="J252" s="282" t="s">
        <v>678</v>
      </c>
      <c r="K252" s="588">
        <v>46270</v>
      </c>
      <c r="L252" s="960">
        <v>46270</v>
      </c>
      <c r="M252" s="908" t="s">
        <v>47</v>
      </c>
      <c r="N252" s="453"/>
      <c r="O252" s="453"/>
      <c r="P252" s="453"/>
    </row>
    <row r="253" spans="1:16" ht="48" x14ac:dyDescent="0.25">
      <c r="A253" s="303">
        <v>5601</v>
      </c>
      <c r="B253" s="304">
        <v>43739</v>
      </c>
      <c r="C253" s="305" t="s">
        <v>980</v>
      </c>
      <c r="D253" s="10" t="s">
        <v>2730</v>
      </c>
      <c r="E253" s="189" t="s">
        <v>695</v>
      </c>
      <c r="F253" s="273" t="s">
        <v>428</v>
      </c>
      <c r="G253" s="273" t="s">
        <v>2501</v>
      </c>
      <c r="H253" s="349" t="s">
        <v>2279</v>
      </c>
      <c r="I253" s="527" t="s">
        <v>33</v>
      </c>
      <c r="J253" s="495" t="s">
        <v>678</v>
      </c>
      <c r="K253" s="585">
        <v>46480</v>
      </c>
      <c r="L253" s="568" t="s">
        <v>3049</v>
      </c>
      <c r="M253" s="349" t="s">
        <v>26</v>
      </c>
      <c r="N253" s="459"/>
      <c r="O253" s="459"/>
      <c r="P253" s="459"/>
    </row>
    <row r="254" spans="1:16" ht="48" x14ac:dyDescent="0.25">
      <c r="A254" s="303">
        <v>5603</v>
      </c>
      <c r="B254" s="304">
        <v>43770</v>
      </c>
      <c r="C254" s="305" t="s">
        <v>982</v>
      </c>
      <c r="D254" s="10" t="s">
        <v>2727</v>
      </c>
      <c r="E254" s="189" t="s">
        <v>697</v>
      </c>
      <c r="F254" s="273" t="s">
        <v>698</v>
      </c>
      <c r="G254" s="273" t="s">
        <v>2444</v>
      </c>
      <c r="H254" s="349" t="s">
        <v>28</v>
      </c>
      <c r="I254" s="5" t="s">
        <v>39</v>
      </c>
      <c r="J254" s="20" t="s">
        <v>46</v>
      </c>
      <c r="K254" s="579">
        <v>46296</v>
      </c>
      <c r="L254" s="425">
        <v>45931</v>
      </c>
      <c r="M254" s="349" t="s">
        <v>47</v>
      </c>
      <c r="N254" s="459">
        <v>150</v>
      </c>
      <c r="O254" s="459" t="s">
        <v>1001</v>
      </c>
      <c r="P254" s="459"/>
    </row>
    <row r="255" spans="1:16" ht="60" x14ac:dyDescent="0.25">
      <c r="A255" s="308">
        <v>5604</v>
      </c>
      <c r="B255" s="309">
        <v>43753</v>
      </c>
      <c r="C255" s="239" t="s">
        <v>983</v>
      </c>
      <c r="D255" s="191" t="s">
        <v>2727</v>
      </c>
      <c r="E255" s="187" t="s">
        <v>699</v>
      </c>
      <c r="F255" s="310" t="s">
        <v>700</v>
      </c>
      <c r="G255" s="310" t="s">
        <v>139</v>
      </c>
      <c r="H255" s="351" t="s">
        <v>2648</v>
      </c>
      <c r="I255" s="198" t="s">
        <v>33</v>
      </c>
      <c r="J255" s="244" t="s">
        <v>678</v>
      </c>
      <c r="K255" s="589">
        <v>46428</v>
      </c>
      <c r="L255" s="426" t="s">
        <v>2944</v>
      </c>
      <c r="M255" s="351" t="s">
        <v>52</v>
      </c>
      <c r="N255" s="460">
        <v>250</v>
      </c>
      <c r="O255" s="460">
        <v>250</v>
      </c>
      <c r="P255" s="460"/>
    </row>
    <row r="256" spans="1:16" ht="109.5" customHeight="1" x14ac:dyDescent="0.25">
      <c r="A256" s="513">
        <v>5608</v>
      </c>
      <c r="B256" s="514">
        <v>43862</v>
      </c>
      <c r="C256" s="515" t="s">
        <v>2445</v>
      </c>
      <c r="D256" s="491" t="s">
        <v>2730</v>
      </c>
      <c r="E256" s="516" t="s">
        <v>707</v>
      </c>
      <c r="F256" s="332" t="s">
        <v>214</v>
      </c>
      <c r="G256" s="332" t="s">
        <v>2235</v>
      </c>
      <c r="H256" s="332" t="s">
        <v>2661</v>
      </c>
      <c r="I256" s="517" t="s">
        <v>33</v>
      </c>
      <c r="J256" s="518" t="s">
        <v>46</v>
      </c>
      <c r="K256" s="580">
        <v>46296</v>
      </c>
      <c r="L256" s="331">
        <v>45931</v>
      </c>
      <c r="M256" s="332" t="s">
        <v>47</v>
      </c>
      <c r="N256" s="519"/>
      <c r="O256" s="519"/>
      <c r="P256" s="519"/>
    </row>
    <row r="257" spans="1:16" ht="96" x14ac:dyDescent="0.25">
      <c r="A257" s="303">
        <v>5609</v>
      </c>
      <c r="B257" s="304">
        <v>43842</v>
      </c>
      <c r="C257" s="305" t="s">
        <v>2090</v>
      </c>
      <c r="D257" s="10" t="s">
        <v>2731</v>
      </c>
      <c r="E257" s="189" t="s">
        <v>708</v>
      </c>
      <c r="F257" s="273" t="s">
        <v>709</v>
      </c>
      <c r="G257" s="273" t="s">
        <v>2229</v>
      </c>
      <c r="H257" s="349"/>
      <c r="I257" s="17" t="s">
        <v>33</v>
      </c>
      <c r="J257" s="349" t="s">
        <v>678</v>
      </c>
      <c r="K257" s="579">
        <v>46197</v>
      </c>
      <c r="L257" s="568" t="s">
        <v>3191</v>
      </c>
      <c r="M257" s="528" t="s">
        <v>47</v>
      </c>
      <c r="N257" s="459"/>
      <c r="O257" s="459"/>
      <c r="P257" s="459"/>
    </row>
    <row r="258" spans="1:16" s="24" customFormat="1" ht="96" x14ac:dyDescent="0.25">
      <c r="A258" s="308">
        <v>5610</v>
      </c>
      <c r="B258" s="309">
        <v>43922</v>
      </c>
      <c r="C258" s="239" t="s">
        <v>986</v>
      </c>
      <c r="D258" s="191" t="s">
        <v>2726</v>
      </c>
      <c r="E258" s="187" t="s">
        <v>710</v>
      </c>
      <c r="F258" s="310" t="s">
        <v>711</v>
      </c>
      <c r="G258" s="310" t="s">
        <v>2547</v>
      </c>
      <c r="H258" s="351" t="s">
        <v>2883</v>
      </c>
      <c r="I258" s="198" t="s">
        <v>33</v>
      </c>
      <c r="J258" s="244" t="s">
        <v>678</v>
      </c>
      <c r="K258" s="589">
        <v>46373</v>
      </c>
      <c r="L258" s="426" t="s">
        <v>2838</v>
      </c>
      <c r="M258" s="351" t="s">
        <v>2837</v>
      </c>
      <c r="N258" s="460">
        <v>200</v>
      </c>
      <c r="O258" s="460">
        <v>0</v>
      </c>
      <c r="P258" s="460"/>
    </row>
    <row r="259" spans="1:16" s="534" customFormat="1" ht="84" x14ac:dyDescent="0.25">
      <c r="A259" s="521">
        <v>5611</v>
      </c>
      <c r="B259" s="522">
        <v>43922</v>
      </c>
      <c r="C259" s="523" t="s">
        <v>987</v>
      </c>
      <c r="D259" s="524" t="s">
        <v>2732</v>
      </c>
      <c r="E259" s="525" t="s">
        <v>712</v>
      </c>
      <c r="F259" s="526" t="s">
        <v>713</v>
      </c>
      <c r="G259" s="526" t="s">
        <v>2501</v>
      </c>
      <c r="H259" s="528" t="s">
        <v>3017</v>
      </c>
      <c r="I259" s="527" t="s">
        <v>33</v>
      </c>
      <c r="J259" s="544" t="s">
        <v>2576</v>
      </c>
      <c r="K259" s="585">
        <v>46492</v>
      </c>
      <c r="L259" s="568" t="s">
        <v>3029</v>
      </c>
      <c r="M259" s="528" t="s">
        <v>47</v>
      </c>
      <c r="N259" s="569">
        <v>200</v>
      </c>
      <c r="O259" s="569" t="s">
        <v>1731</v>
      </c>
      <c r="P259" s="569"/>
    </row>
    <row r="260" spans="1:16" s="9" customFormat="1" ht="60" x14ac:dyDescent="0.25">
      <c r="A260" s="303">
        <v>5613</v>
      </c>
      <c r="B260" s="304">
        <v>43952</v>
      </c>
      <c r="C260" s="305" t="s">
        <v>989</v>
      </c>
      <c r="D260" s="10" t="s">
        <v>2726</v>
      </c>
      <c r="E260" s="189" t="s">
        <v>716</v>
      </c>
      <c r="F260" s="273" t="s">
        <v>717</v>
      </c>
      <c r="G260" s="273" t="s">
        <v>2501</v>
      </c>
      <c r="H260" s="349" t="s">
        <v>1974</v>
      </c>
      <c r="I260" s="527" t="s">
        <v>33</v>
      </c>
      <c r="J260" s="495" t="s">
        <v>678</v>
      </c>
      <c r="K260" s="585">
        <v>46513</v>
      </c>
      <c r="L260" s="425" t="s">
        <v>3054</v>
      </c>
      <c r="M260" s="349" t="s">
        <v>47</v>
      </c>
      <c r="N260" s="459"/>
      <c r="O260" s="459"/>
      <c r="P260" s="459"/>
    </row>
    <row r="261" spans="1:16" ht="36" x14ac:dyDescent="0.25">
      <c r="A261" s="308">
        <v>5614</v>
      </c>
      <c r="B261" s="309">
        <v>43891</v>
      </c>
      <c r="C261" s="239" t="s">
        <v>718</v>
      </c>
      <c r="D261" s="191" t="s">
        <v>2725</v>
      </c>
      <c r="E261" s="187" t="s">
        <v>28</v>
      </c>
      <c r="F261" s="310" t="s">
        <v>719</v>
      </c>
      <c r="G261" s="310" t="s">
        <v>2951</v>
      </c>
      <c r="H261" s="351"/>
      <c r="I261" s="198"/>
      <c r="J261" s="244" t="s">
        <v>678</v>
      </c>
      <c r="K261" s="589">
        <v>46447</v>
      </c>
      <c r="L261" s="867" t="s">
        <v>2997</v>
      </c>
      <c r="M261" s="868" t="s">
        <v>26</v>
      </c>
      <c r="N261" s="460"/>
      <c r="O261" s="460"/>
      <c r="P261" s="460"/>
    </row>
    <row r="262" spans="1:16" s="31" customFormat="1" ht="60" x14ac:dyDescent="0.15">
      <c r="A262" s="303">
        <v>5615</v>
      </c>
      <c r="B262" s="304">
        <v>44013</v>
      </c>
      <c r="C262" s="305" t="s">
        <v>990</v>
      </c>
      <c r="D262" s="10" t="s">
        <v>2726</v>
      </c>
      <c r="E262" s="189" t="s">
        <v>720</v>
      </c>
      <c r="F262" s="273" t="s">
        <v>247</v>
      </c>
      <c r="G262" s="273" t="s">
        <v>189</v>
      </c>
      <c r="H262" s="349" t="s">
        <v>1863</v>
      </c>
      <c r="I262" s="17" t="s">
        <v>33</v>
      </c>
      <c r="J262" s="544" t="s">
        <v>678</v>
      </c>
      <c r="K262" s="934">
        <v>46548</v>
      </c>
      <c r="L262" s="425" t="s">
        <v>3090</v>
      </c>
      <c r="M262" s="349" t="s">
        <v>47</v>
      </c>
      <c r="N262" s="459"/>
      <c r="O262" s="459"/>
      <c r="P262" s="459"/>
    </row>
    <row r="263" spans="1:16" s="31" customFormat="1" ht="72" x14ac:dyDescent="0.15">
      <c r="A263" s="308">
        <v>5616</v>
      </c>
      <c r="B263" s="309">
        <v>44075</v>
      </c>
      <c r="C263" s="239" t="s">
        <v>1685</v>
      </c>
      <c r="D263" s="191" t="s">
        <v>2729</v>
      </c>
      <c r="E263" s="187" t="s">
        <v>721</v>
      </c>
      <c r="F263" s="310" t="s">
        <v>722</v>
      </c>
      <c r="G263" s="866" t="s">
        <v>2118</v>
      </c>
      <c r="H263" s="679" t="s">
        <v>3128</v>
      </c>
      <c r="I263" s="198" t="s">
        <v>33</v>
      </c>
      <c r="J263" s="244" t="s">
        <v>2158</v>
      </c>
      <c r="K263" s="589">
        <v>46249</v>
      </c>
      <c r="L263" s="678" t="s">
        <v>3203</v>
      </c>
      <c r="M263" s="679" t="s">
        <v>52</v>
      </c>
      <c r="N263" s="460" t="s">
        <v>1962</v>
      </c>
      <c r="O263" s="460" t="s">
        <v>1962</v>
      </c>
      <c r="P263" s="460"/>
    </row>
    <row r="264" spans="1:16" s="24" customFormat="1" ht="84" x14ac:dyDescent="0.25">
      <c r="A264" s="308">
        <v>5618</v>
      </c>
      <c r="B264" s="309">
        <v>44013</v>
      </c>
      <c r="C264" s="239" t="s">
        <v>992</v>
      </c>
      <c r="D264" s="191" t="s">
        <v>2732</v>
      </c>
      <c r="E264" s="187" t="s">
        <v>725</v>
      </c>
      <c r="F264" s="310" t="s">
        <v>713</v>
      </c>
      <c r="G264" s="310" t="s">
        <v>2322</v>
      </c>
      <c r="H264" s="351" t="s">
        <v>3021</v>
      </c>
      <c r="I264" s="198" t="s">
        <v>33</v>
      </c>
      <c r="J264" s="932" t="s">
        <v>678</v>
      </c>
      <c r="K264" s="934">
        <v>46553</v>
      </c>
      <c r="L264" s="678" t="s">
        <v>3091</v>
      </c>
      <c r="M264" s="679" t="s">
        <v>47</v>
      </c>
      <c r="N264" s="460" t="s">
        <v>2080</v>
      </c>
      <c r="O264" s="460" t="s">
        <v>2081</v>
      </c>
      <c r="P264" s="460"/>
    </row>
    <row r="265" spans="1:16" ht="48" x14ac:dyDescent="0.25">
      <c r="A265" s="303">
        <v>5619</v>
      </c>
      <c r="B265" s="304">
        <v>44044</v>
      </c>
      <c r="C265" s="305" t="s">
        <v>993</v>
      </c>
      <c r="D265" s="10" t="s">
        <v>2730</v>
      </c>
      <c r="E265" s="189" t="s">
        <v>726</v>
      </c>
      <c r="F265" s="273" t="s">
        <v>727</v>
      </c>
      <c r="G265" s="273" t="s">
        <v>2235</v>
      </c>
      <c r="H265" s="273" t="s">
        <v>1987</v>
      </c>
      <c r="I265" s="17" t="s">
        <v>33</v>
      </c>
      <c r="J265" s="349" t="s">
        <v>678</v>
      </c>
      <c r="K265" s="579">
        <v>46387</v>
      </c>
      <c r="L265" s="573" t="s">
        <v>2857</v>
      </c>
      <c r="M265" s="349" t="s">
        <v>2984</v>
      </c>
      <c r="N265" s="307"/>
      <c r="O265" s="307"/>
      <c r="P265" s="307" t="s">
        <v>29</v>
      </c>
    </row>
    <row r="266" spans="1:16" s="24" customFormat="1" ht="84" x14ac:dyDescent="0.25">
      <c r="A266" s="308">
        <v>5620</v>
      </c>
      <c r="B266" s="309">
        <v>44044</v>
      </c>
      <c r="C266" s="239" t="s">
        <v>2756</v>
      </c>
      <c r="D266" s="191" t="s">
        <v>2727</v>
      </c>
      <c r="E266" s="187" t="s">
        <v>728</v>
      </c>
      <c r="F266" s="310" t="s">
        <v>165</v>
      </c>
      <c r="G266" s="310" t="s">
        <v>32</v>
      </c>
      <c r="H266" s="351" t="s">
        <v>2520</v>
      </c>
      <c r="I266" s="198" t="s">
        <v>33</v>
      </c>
      <c r="J266" s="351" t="s">
        <v>678</v>
      </c>
      <c r="K266" s="589">
        <v>46213</v>
      </c>
      <c r="L266" s="840">
        <v>45848</v>
      </c>
      <c r="M266" s="518" t="s">
        <v>26</v>
      </c>
      <c r="N266" s="460">
        <v>200</v>
      </c>
      <c r="O266" s="460">
        <v>200</v>
      </c>
      <c r="P266" s="460" t="s">
        <v>35</v>
      </c>
    </row>
    <row r="267" spans="1:16" ht="107.25" customHeight="1" x14ac:dyDescent="0.25">
      <c r="A267" s="303">
        <v>5621</v>
      </c>
      <c r="B267" s="304">
        <v>44197</v>
      </c>
      <c r="C267" s="305" t="s">
        <v>1747</v>
      </c>
      <c r="D267" s="10" t="s">
        <v>2727</v>
      </c>
      <c r="E267" s="189" t="s">
        <v>729</v>
      </c>
      <c r="F267" s="273" t="s">
        <v>37</v>
      </c>
      <c r="G267" s="273" t="s">
        <v>2444</v>
      </c>
      <c r="H267" s="349" t="s">
        <v>28</v>
      </c>
      <c r="I267" s="17" t="s">
        <v>39</v>
      </c>
      <c r="J267" s="349" t="s">
        <v>678</v>
      </c>
      <c r="K267" s="579">
        <v>46374</v>
      </c>
      <c r="L267" s="568" t="s">
        <v>3068</v>
      </c>
      <c r="M267" s="528" t="s">
        <v>47</v>
      </c>
      <c r="N267" s="459"/>
      <c r="O267" s="459"/>
      <c r="P267" s="459"/>
    </row>
    <row r="268" spans="1:16" s="512" customFormat="1" ht="204" x14ac:dyDescent="0.25">
      <c r="A268" s="303">
        <v>5626</v>
      </c>
      <c r="B268" s="304">
        <v>44044</v>
      </c>
      <c r="C268" s="305" t="s">
        <v>1671</v>
      </c>
      <c r="D268" s="273" t="s">
        <v>2757</v>
      </c>
      <c r="E268" s="189" t="s">
        <v>1665</v>
      </c>
      <c r="F268" s="273" t="s">
        <v>1666</v>
      </c>
      <c r="G268" s="526" t="s">
        <v>139</v>
      </c>
      <c r="H268" s="273" t="s">
        <v>2310</v>
      </c>
      <c r="I268" s="17" t="s">
        <v>60</v>
      </c>
      <c r="J268" s="349" t="s">
        <v>1668</v>
      </c>
      <c r="K268" s="580">
        <v>46223</v>
      </c>
      <c r="L268" s="568">
        <v>45858</v>
      </c>
      <c r="M268" s="528" t="s">
        <v>26</v>
      </c>
      <c r="N268" s="307">
        <v>200</v>
      </c>
      <c r="O268" s="307">
        <v>200</v>
      </c>
      <c r="P268" s="307" t="s">
        <v>35</v>
      </c>
    </row>
    <row r="269" spans="1:16" s="9" customFormat="1" ht="132" x14ac:dyDescent="0.25">
      <c r="A269" s="303">
        <v>5627</v>
      </c>
      <c r="B269" s="304">
        <v>44075</v>
      </c>
      <c r="C269" s="305" t="s">
        <v>1672</v>
      </c>
      <c r="D269" s="10" t="s">
        <v>2757</v>
      </c>
      <c r="E269" s="189" t="s">
        <v>1673</v>
      </c>
      <c r="F269" s="273" t="s">
        <v>1676</v>
      </c>
      <c r="G269" s="273" t="s">
        <v>1846</v>
      </c>
      <c r="H269" s="349" t="s">
        <v>3094</v>
      </c>
      <c r="I269" s="17" t="s">
        <v>228</v>
      </c>
      <c r="J269" s="349" t="s">
        <v>2158</v>
      </c>
      <c r="K269" s="580">
        <v>46240</v>
      </c>
      <c r="L269" s="568" t="s">
        <v>3184</v>
      </c>
      <c r="M269" s="528" t="s">
        <v>47</v>
      </c>
      <c r="N269" s="459">
        <v>200</v>
      </c>
      <c r="O269" s="459">
        <v>200</v>
      </c>
      <c r="P269" s="459"/>
    </row>
    <row r="270" spans="1:16" s="9" customFormat="1" ht="144" x14ac:dyDescent="0.25">
      <c r="A270" s="303">
        <v>5628</v>
      </c>
      <c r="B270" s="304">
        <v>44075</v>
      </c>
      <c r="C270" s="305" t="s">
        <v>1675</v>
      </c>
      <c r="D270" s="10" t="s">
        <v>2757</v>
      </c>
      <c r="E270" s="189" t="s">
        <v>1673</v>
      </c>
      <c r="F270" s="273" t="s">
        <v>1674</v>
      </c>
      <c r="G270" s="273" t="s">
        <v>1846</v>
      </c>
      <c r="H270" s="349" t="s">
        <v>3095</v>
      </c>
      <c r="I270" s="17" t="s">
        <v>228</v>
      </c>
      <c r="J270" s="349" t="s">
        <v>2158</v>
      </c>
      <c r="K270" s="580">
        <v>46240</v>
      </c>
      <c r="L270" s="568" t="s">
        <v>3184</v>
      </c>
      <c r="M270" s="528" t="s">
        <v>47</v>
      </c>
      <c r="N270" s="459">
        <v>200</v>
      </c>
      <c r="O270" s="459">
        <v>200</v>
      </c>
      <c r="P270" s="459"/>
    </row>
    <row r="271" spans="1:16" s="24" customFormat="1" ht="144" x14ac:dyDescent="0.25">
      <c r="A271" s="303">
        <v>5629</v>
      </c>
      <c r="B271" s="304">
        <v>44075</v>
      </c>
      <c r="C271" s="305" t="s">
        <v>1682</v>
      </c>
      <c r="D271" s="10" t="s">
        <v>2727</v>
      </c>
      <c r="E271" s="189" t="s">
        <v>1683</v>
      </c>
      <c r="F271" s="273" t="s">
        <v>1684</v>
      </c>
      <c r="G271" s="273" t="s">
        <v>1846</v>
      </c>
      <c r="H271" s="349" t="s">
        <v>3095</v>
      </c>
      <c r="I271" s="17"/>
      <c r="J271" s="349" t="s">
        <v>2158</v>
      </c>
      <c r="K271" s="580">
        <v>46254</v>
      </c>
      <c r="L271" s="568" t="s">
        <v>3183</v>
      </c>
      <c r="M271" s="528" t="s">
        <v>47</v>
      </c>
      <c r="N271" s="459"/>
      <c r="O271" s="459"/>
      <c r="P271" s="459"/>
    </row>
    <row r="272" spans="1:16" s="24" customFormat="1" ht="60" x14ac:dyDescent="0.25">
      <c r="A272" s="303">
        <v>5631</v>
      </c>
      <c r="B272" s="304">
        <v>44136</v>
      </c>
      <c r="C272" s="305" t="s">
        <v>1686</v>
      </c>
      <c r="D272" s="10" t="s">
        <v>2726</v>
      </c>
      <c r="E272" s="189" t="s">
        <v>1687</v>
      </c>
      <c r="F272" s="273" t="s">
        <v>1688</v>
      </c>
      <c r="G272" s="273" t="s">
        <v>2206</v>
      </c>
      <c r="H272" s="349" t="s">
        <v>1981</v>
      </c>
      <c r="I272" s="17"/>
      <c r="J272" s="349" t="s">
        <v>2158</v>
      </c>
      <c r="K272" s="580">
        <v>46260</v>
      </c>
      <c r="L272" s="425" t="s">
        <v>3205</v>
      </c>
      <c r="M272" s="349" t="s">
        <v>52</v>
      </c>
      <c r="N272" s="459">
        <v>100</v>
      </c>
      <c r="O272" s="459">
        <v>100</v>
      </c>
      <c r="P272" s="459"/>
    </row>
    <row r="273" spans="1:16" s="1" customFormat="1" ht="60" x14ac:dyDescent="0.25">
      <c r="A273" s="408">
        <v>5632</v>
      </c>
      <c r="B273" s="481">
        <v>44105</v>
      </c>
      <c r="C273" s="361" t="s">
        <v>1710</v>
      </c>
      <c r="D273" s="552" t="s">
        <v>2727</v>
      </c>
      <c r="E273" s="17" t="s">
        <v>1690</v>
      </c>
      <c r="F273" s="349" t="s">
        <v>1691</v>
      </c>
      <c r="G273" s="349" t="s">
        <v>179</v>
      </c>
      <c r="H273" s="349" t="s">
        <v>3000</v>
      </c>
      <c r="I273" s="17"/>
      <c r="J273" s="349" t="s">
        <v>2158</v>
      </c>
      <c r="K273" s="580">
        <v>46357</v>
      </c>
      <c r="L273" s="425">
        <v>45992</v>
      </c>
      <c r="M273" s="349" t="s">
        <v>295</v>
      </c>
      <c r="N273" s="459">
        <v>200</v>
      </c>
      <c r="O273" s="459"/>
      <c r="P273" s="459"/>
    </row>
    <row r="274" spans="1:16" s="24" customFormat="1" ht="69" customHeight="1" x14ac:dyDescent="0.25">
      <c r="A274" s="303">
        <v>5633</v>
      </c>
      <c r="B274" s="304">
        <v>44105</v>
      </c>
      <c r="C274" s="305" t="s">
        <v>1698</v>
      </c>
      <c r="D274" s="10" t="s">
        <v>2725</v>
      </c>
      <c r="E274" s="189" t="s">
        <v>1692</v>
      </c>
      <c r="F274" s="273" t="s">
        <v>1693</v>
      </c>
      <c r="G274" s="273" t="s">
        <v>32</v>
      </c>
      <c r="H274" s="349" t="s">
        <v>2521</v>
      </c>
      <c r="I274" s="17" t="s">
        <v>228</v>
      </c>
      <c r="J274" s="349" t="s">
        <v>678</v>
      </c>
      <c r="K274" s="580">
        <v>46270</v>
      </c>
      <c r="L274" s="907">
        <v>46270</v>
      </c>
      <c r="M274" s="903" t="s">
        <v>52</v>
      </c>
      <c r="N274" s="459">
        <v>150</v>
      </c>
      <c r="O274" s="459">
        <v>150</v>
      </c>
      <c r="P274" s="459"/>
    </row>
    <row r="275" spans="1:16" s="24" customFormat="1" ht="69" customHeight="1" x14ac:dyDescent="0.25">
      <c r="A275" s="303">
        <v>5634</v>
      </c>
      <c r="B275" s="304">
        <v>44105</v>
      </c>
      <c r="C275" s="305" t="s">
        <v>1703</v>
      </c>
      <c r="D275" s="10" t="s">
        <v>2725</v>
      </c>
      <c r="E275" s="189" t="s">
        <v>1692</v>
      </c>
      <c r="F275" s="273" t="s">
        <v>1694</v>
      </c>
      <c r="G275" s="273" t="s">
        <v>32</v>
      </c>
      <c r="H275" s="349" t="s">
        <v>2521</v>
      </c>
      <c r="I275" s="17" t="s">
        <v>228</v>
      </c>
      <c r="J275" s="349" t="s">
        <v>678</v>
      </c>
      <c r="K275" s="580">
        <v>46270</v>
      </c>
      <c r="L275" s="907">
        <v>46270</v>
      </c>
      <c r="M275" s="903" t="s">
        <v>52</v>
      </c>
      <c r="N275" s="459"/>
      <c r="O275" s="459"/>
      <c r="P275" s="459"/>
    </row>
    <row r="276" spans="1:16" s="24" customFormat="1" ht="69" customHeight="1" x14ac:dyDescent="0.25">
      <c r="A276" s="303">
        <v>5635</v>
      </c>
      <c r="B276" s="304">
        <v>44105</v>
      </c>
      <c r="C276" s="305" t="s">
        <v>1704</v>
      </c>
      <c r="D276" s="10" t="s">
        <v>2725</v>
      </c>
      <c r="E276" s="189" t="s">
        <v>1692</v>
      </c>
      <c r="F276" s="273" t="s">
        <v>1639</v>
      </c>
      <c r="G276" s="273" t="s">
        <v>32</v>
      </c>
      <c r="H276" s="349"/>
      <c r="I276" s="17" t="s">
        <v>228</v>
      </c>
      <c r="J276" s="349" t="s">
        <v>678</v>
      </c>
      <c r="K276" s="580">
        <v>46270</v>
      </c>
      <c r="L276" s="907">
        <v>46270</v>
      </c>
      <c r="M276" s="903" t="s">
        <v>52</v>
      </c>
      <c r="N276" s="459"/>
      <c r="O276" s="459"/>
      <c r="P276" s="459"/>
    </row>
    <row r="277" spans="1:16" s="9" customFormat="1" ht="69" customHeight="1" x14ac:dyDescent="0.25">
      <c r="A277" s="303">
        <v>5636</v>
      </c>
      <c r="B277" s="304">
        <v>44136</v>
      </c>
      <c r="C277" s="305" t="s">
        <v>2764</v>
      </c>
      <c r="D277" s="10" t="s">
        <v>2757</v>
      </c>
      <c r="E277" s="189" t="s">
        <v>1695</v>
      </c>
      <c r="F277" s="273" t="s">
        <v>1696</v>
      </c>
      <c r="G277" s="273" t="s">
        <v>3036</v>
      </c>
      <c r="H277" s="349" t="s">
        <v>2024</v>
      </c>
      <c r="I277" s="17"/>
      <c r="J277" s="349" t="s">
        <v>1711</v>
      </c>
      <c r="K277" s="580">
        <v>46283</v>
      </c>
      <c r="L277" s="907">
        <v>46283</v>
      </c>
      <c r="M277" s="903" t="s">
        <v>26</v>
      </c>
      <c r="N277" s="459"/>
      <c r="O277" s="459"/>
      <c r="P277" s="459"/>
    </row>
    <row r="278" spans="1:16" s="24" customFormat="1" ht="96" x14ac:dyDescent="0.25">
      <c r="A278" s="408">
        <v>5637</v>
      </c>
      <c r="B278" s="481">
        <v>44166</v>
      </c>
      <c r="C278" s="361" t="s">
        <v>2415</v>
      </c>
      <c r="D278" s="552" t="s">
        <v>2727</v>
      </c>
      <c r="E278" s="17" t="s">
        <v>1706</v>
      </c>
      <c r="F278" s="349" t="s">
        <v>1707</v>
      </c>
      <c r="G278" s="349" t="s">
        <v>179</v>
      </c>
      <c r="H278" s="349"/>
      <c r="I278" s="17" t="s">
        <v>56</v>
      </c>
      <c r="J278" s="349" t="s">
        <v>2006</v>
      </c>
      <c r="K278" s="580">
        <v>46235</v>
      </c>
      <c r="L278" s="568" t="s">
        <v>3154</v>
      </c>
      <c r="M278" s="528" t="s">
        <v>47</v>
      </c>
      <c r="N278" s="459"/>
      <c r="O278" s="459"/>
      <c r="P278" s="459"/>
    </row>
    <row r="279" spans="1:16" s="1" customFormat="1" ht="69" customHeight="1" x14ac:dyDescent="0.25">
      <c r="A279" s="303">
        <v>5642</v>
      </c>
      <c r="B279" s="304">
        <v>44166</v>
      </c>
      <c r="C279" s="305" t="s">
        <v>1725</v>
      </c>
      <c r="D279" s="10" t="s">
        <v>2729</v>
      </c>
      <c r="E279" s="189" t="s">
        <v>1726</v>
      </c>
      <c r="F279" s="273" t="s">
        <v>1728</v>
      </c>
      <c r="G279" s="273" t="s">
        <v>2041</v>
      </c>
      <c r="H279" s="349" t="s">
        <v>1998</v>
      </c>
      <c r="I279" s="17" t="s">
        <v>1727</v>
      </c>
      <c r="J279" s="528" t="s">
        <v>46</v>
      </c>
      <c r="K279" s="580">
        <v>46470</v>
      </c>
      <c r="L279" s="425" t="s">
        <v>3011</v>
      </c>
      <c r="M279" s="349" t="s">
        <v>52</v>
      </c>
      <c r="N279" s="459" t="s">
        <v>1731</v>
      </c>
      <c r="O279" s="459" t="s">
        <v>1731</v>
      </c>
      <c r="P279" s="459" t="s">
        <v>29</v>
      </c>
    </row>
    <row r="280" spans="1:16" s="1" customFormat="1" ht="69" customHeight="1" x14ac:dyDescent="0.25">
      <c r="A280" s="303">
        <v>5643</v>
      </c>
      <c r="B280" s="304">
        <v>44197</v>
      </c>
      <c r="C280" s="305" t="s">
        <v>1734</v>
      </c>
      <c r="D280" s="10" t="s">
        <v>2729</v>
      </c>
      <c r="E280" s="189" t="s">
        <v>1735</v>
      </c>
      <c r="F280" s="273" t="s">
        <v>1737</v>
      </c>
      <c r="G280" s="273" t="s">
        <v>139</v>
      </c>
      <c r="H280" s="349" t="s">
        <v>28</v>
      </c>
      <c r="I280" s="17" t="s">
        <v>1736</v>
      </c>
      <c r="J280" s="349" t="s">
        <v>678</v>
      </c>
      <c r="K280" s="580">
        <v>46395</v>
      </c>
      <c r="L280" s="425" t="s">
        <v>2920</v>
      </c>
      <c r="M280" s="349" t="s">
        <v>26</v>
      </c>
      <c r="N280" s="459">
        <v>0</v>
      </c>
      <c r="O280" s="459">
        <v>0</v>
      </c>
      <c r="P280" s="459"/>
    </row>
    <row r="281" spans="1:16" s="17" customFormat="1" ht="96" x14ac:dyDescent="0.25">
      <c r="A281" s="305" t="s">
        <v>2040</v>
      </c>
      <c r="B281" s="304">
        <v>44228</v>
      </c>
      <c r="C281" s="305" t="s">
        <v>1763</v>
      </c>
      <c r="D281" s="10" t="s">
        <v>2727</v>
      </c>
      <c r="E281" s="189" t="s">
        <v>1743</v>
      </c>
      <c r="F281" s="273" t="s">
        <v>1744</v>
      </c>
      <c r="G281" s="273" t="s">
        <v>139</v>
      </c>
      <c r="H281" s="349" t="s">
        <v>2492</v>
      </c>
      <c r="J281" s="349" t="s">
        <v>678</v>
      </c>
      <c r="K281" s="579">
        <v>46407</v>
      </c>
      <c r="L281" s="425" t="s">
        <v>2919</v>
      </c>
      <c r="M281" s="349" t="s">
        <v>26</v>
      </c>
      <c r="N281" s="459">
        <v>150</v>
      </c>
      <c r="O281" s="459">
        <v>150</v>
      </c>
      <c r="P281" s="459"/>
    </row>
    <row r="282" spans="1:16" s="1" customFormat="1" ht="69" customHeight="1" x14ac:dyDescent="0.25">
      <c r="A282" s="303">
        <v>5651</v>
      </c>
      <c r="B282" s="304">
        <v>44228</v>
      </c>
      <c r="C282" s="305" t="s">
        <v>1756</v>
      </c>
      <c r="D282" s="10" t="s">
        <v>2726</v>
      </c>
      <c r="E282" s="189" t="s">
        <v>1757</v>
      </c>
      <c r="F282" s="273" t="s">
        <v>232</v>
      </c>
      <c r="G282" s="526" t="s">
        <v>90</v>
      </c>
      <c r="H282" s="349" t="s">
        <v>1999</v>
      </c>
      <c r="I282" s="17" t="s">
        <v>1753</v>
      </c>
      <c r="J282" s="349" t="s">
        <v>2158</v>
      </c>
      <c r="K282" s="579">
        <v>46410</v>
      </c>
      <c r="L282" s="425" t="s">
        <v>2914</v>
      </c>
      <c r="M282" s="349" t="s">
        <v>52</v>
      </c>
      <c r="N282" s="463" t="s">
        <v>1842</v>
      </c>
      <c r="O282" s="463" t="s">
        <v>1843</v>
      </c>
      <c r="P282" s="459"/>
    </row>
    <row r="283" spans="1:16" s="1" customFormat="1" ht="69" customHeight="1" x14ac:dyDescent="0.25">
      <c r="A283" s="303">
        <v>5655</v>
      </c>
      <c r="B283" s="304">
        <v>44317</v>
      </c>
      <c r="C283" s="305" t="s">
        <v>1784</v>
      </c>
      <c r="D283" s="10" t="s">
        <v>2726</v>
      </c>
      <c r="E283" s="189" t="s">
        <v>1785</v>
      </c>
      <c r="F283" s="273" t="s">
        <v>475</v>
      </c>
      <c r="G283" s="273" t="s">
        <v>144</v>
      </c>
      <c r="H283" s="349" t="s">
        <v>2280</v>
      </c>
      <c r="I283" s="17" t="s">
        <v>1753</v>
      </c>
      <c r="J283" s="349" t="s">
        <v>2158</v>
      </c>
      <c r="K283" s="579">
        <v>46255</v>
      </c>
      <c r="L283" s="425" t="s">
        <v>3186</v>
      </c>
      <c r="M283" s="349" t="s">
        <v>26</v>
      </c>
      <c r="N283" s="459"/>
      <c r="O283" s="459"/>
      <c r="P283" s="459"/>
    </row>
    <row r="284" spans="1:16" s="1" customFormat="1" ht="69" customHeight="1" x14ac:dyDescent="0.25">
      <c r="A284" s="303">
        <v>5656</v>
      </c>
      <c r="B284" s="304">
        <v>44317</v>
      </c>
      <c r="C284" s="305" t="s">
        <v>1786</v>
      </c>
      <c r="D284" s="10" t="s">
        <v>2727</v>
      </c>
      <c r="E284" s="189" t="s">
        <v>1787</v>
      </c>
      <c r="F284" s="273" t="s">
        <v>1788</v>
      </c>
      <c r="G284" s="273" t="s">
        <v>1939</v>
      </c>
      <c r="H284" s="349" t="s">
        <v>2023</v>
      </c>
      <c r="I284" s="17" t="s">
        <v>1721</v>
      </c>
      <c r="J284" s="349" t="s">
        <v>2158</v>
      </c>
      <c r="K284" s="579">
        <v>46455</v>
      </c>
      <c r="L284" s="425" t="s">
        <v>3022</v>
      </c>
      <c r="M284" s="349" t="s">
        <v>26</v>
      </c>
      <c r="N284" s="459" t="s">
        <v>2021</v>
      </c>
      <c r="O284" s="459" t="s">
        <v>2022</v>
      </c>
      <c r="P284" s="459"/>
    </row>
    <row r="285" spans="1:16" s="1" customFormat="1" ht="48" x14ac:dyDescent="0.25">
      <c r="A285" s="303">
        <v>5657</v>
      </c>
      <c r="B285" s="304">
        <v>44317</v>
      </c>
      <c r="C285" s="305" t="s">
        <v>1789</v>
      </c>
      <c r="D285" s="10" t="s">
        <v>2727</v>
      </c>
      <c r="E285" s="189" t="s">
        <v>1787</v>
      </c>
      <c r="F285" s="273" t="s">
        <v>1790</v>
      </c>
      <c r="G285" s="273" t="s">
        <v>1939</v>
      </c>
      <c r="H285" s="349" t="s">
        <v>2023</v>
      </c>
      <c r="I285" s="17" t="s">
        <v>1721</v>
      </c>
      <c r="J285" s="349" t="s">
        <v>2158</v>
      </c>
      <c r="K285" s="579">
        <v>46455</v>
      </c>
      <c r="L285" s="425" t="s">
        <v>3022</v>
      </c>
      <c r="M285" s="349" t="s">
        <v>26</v>
      </c>
      <c r="N285" s="459" t="s">
        <v>2021</v>
      </c>
      <c r="O285" s="459" t="s">
        <v>2022</v>
      </c>
      <c r="P285" s="459"/>
    </row>
    <row r="286" spans="1:16" s="17" customFormat="1" ht="216" x14ac:dyDescent="0.25">
      <c r="A286" s="305" t="s">
        <v>2052</v>
      </c>
      <c r="B286" s="304">
        <v>44317</v>
      </c>
      <c r="C286" s="305" t="s">
        <v>1930</v>
      </c>
      <c r="D286" s="10" t="s">
        <v>2727</v>
      </c>
      <c r="E286" s="189" t="s">
        <v>1787</v>
      </c>
      <c r="F286" s="273" t="s">
        <v>1791</v>
      </c>
      <c r="G286" s="273" t="s">
        <v>1909</v>
      </c>
      <c r="H286" s="349"/>
      <c r="I286" s="17" t="s">
        <v>1721</v>
      </c>
      <c r="J286" s="349" t="s">
        <v>2158</v>
      </c>
      <c r="K286" s="579">
        <v>46455</v>
      </c>
      <c r="L286" s="425" t="s">
        <v>3022</v>
      </c>
      <c r="M286" s="349" t="s">
        <v>26</v>
      </c>
      <c r="N286" s="459"/>
      <c r="O286" s="459"/>
      <c r="P286" s="459"/>
    </row>
    <row r="287" spans="1:16" s="17" customFormat="1" ht="72" x14ac:dyDescent="0.25">
      <c r="A287" s="305" t="s">
        <v>2061</v>
      </c>
      <c r="B287" s="304">
        <v>44348</v>
      </c>
      <c r="C287" s="305" t="s">
        <v>1808</v>
      </c>
      <c r="D287" s="10" t="s">
        <v>2727</v>
      </c>
      <c r="E287" s="189" t="s">
        <v>1798</v>
      </c>
      <c r="F287" s="273" t="s">
        <v>1799</v>
      </c>
      <c r="G287" s="273" t="s">
        <v>2474</v>
      </c>
      <c r="H287" s="349" t="s">
        <v>2819</v>
      </c>
      <c r="I287" s="527" t="s">
        <v>1753</v>
      </c>
      <c r="J287" s="528" t="s">
        <v>2397</v>
      </c>
      <c r="K287" s="580">
        <v>46222</v>
      </c>
      <c r="L287" s="568" t="s">
        <v>3167</v>
      </c>
      <c r="M287" s="528" t="s">
        <v>52</v>
      </c>
      <c r="N287" s="459"/>
      <c r="O287" s="459"/>
      <c r="P287" s="459"/>
    </row>
    <row r="288" spans="1:16" s="1" customFormat="1" ht="69" customHeight="1" x14ac:dyDescent="0.25">
      <c r="A288" s="303">
        <v>5663</v>
      </c>
      <c r="B288" s="304">
        <v>44378</v>
      </c>
      <c r="C288" s="305" t="s">
        <v>1803</v>
      </c>
      <c r="D288" s="10" t="s">
        <v>2735</v>
      </c>
      <c r="E288" s="189" t="s">
        <v>1804</v>
      </c>
      <c r="F288" s="273" t="s">
        <v>1802</v>
      </c>
      <c r="G288" s="273" t="s">
        <v>2548</v>
      </c>
      <c r="H288" s="349" t="s">
        <v>2281</v>
      </c>
      <c r="I288" s="527" t="s">
        <v>1753</v>
      </c>
      <c r="J288" s="528" t="s">
        <v>678</v>
      </c>
      <c r="K288" s="580">
        <v>46522</v>
      </c>
      <c r="L288" s="568" t="s">
        <v>3062</v>
      </c>
      <c r="M288" s="528" t="s">
        <v>26</v>
      </c>
      <c r="N288" s="459"/>
      <c r="O288" s="459"/>
      <c r="P288" s="459"/>
    </row>
    <row r="289" spans="1:16" s="17" customFormat="1" ht="123.75" customHeight="1" x14ac:dyDescent="0.25">
      <c r="A289" s="305" t="s">
        <v>2062</v>
      </c>
      <c r="B289" s="304">
        <v>44348</v>
      </c>
      <c r="C289" s="305" t="s">
        <v>2758</v>
      </c>
      <c r="D289" s="10" t="s">
        <v>2725</v>
      </c>
      <c r="E289" s="189" t="s">
        <v>1809</v>
      </c>
      <c r="F289" s="273" t="s">
        <v>1817</v>
      </c>
      <c r="G289" s="526" t="s">
        <v>84</v>
      </c>
      <c r="H289" s="528" t="s">
        <v>3064</v>
      </c>
      <c r="I289" s="527" t="s">
        <v>56</v>
      </c>
      <c r="J289" s="528" t="s">
        <v>678</v>
      </c>
      <c r="K289" s="580">
        <v>46477</v>
      </c>
      <c r="L289" s="568"/>
      <c r="M289" s="528"/>
      <c r="N289" s="569" t="s">
        <v>2963</v>
      </c>
      <c r="O289" s="459" t="s">
        <v>1731</v>
      </c>
      <c r="P289" s="459"/>
    </row>
    <row r="290" spans="1:16" s="1" customFormat="1" ht="69" customHeight="1" x14ac:dyDescent="0.25">
      <c r="A290" s="303">
        <v>5666</v>
      </c>
      <c r="B290" s="304">
        <v>44348</v>
      </c>
      <c r="C290" s="305" t="s">
        <v>1816</v>
      </c>
      <c r="D290" s="10" t="s">
        <v>2726</v>
      </c>
      <c r="E290" s="189"/>
      <c r="F290" s="273"/>
      <c r="G290" s="526" t="s">
        <v>1846</v>
      </c>
      <c r="H290" s="528"/>
      <c r="I290" s="527" t="s">
        <v>118</v>
      </c>
      <c r="J290" s="528" t="s">
        <v>2932</v>
      </c>
      <c r="K290" s="580">
        <v>46260</v>
      </c>
      <c r="L290" s="568">
        <v>44799</v>
      </c>
      <c r="M290" s="528" t="s">
        <v>47</v>
      </c>
      <c r="N290" s="569"/>
      <c r="O290" s="459"/>
      <c r="P290" s="459"/>
    </row>
    <row r="291" spans="1:16" s="1" customFormat="1" ht="69" customHeight="1" x14ac:dyDescent="0.25">
      <c r="A291" s="207">
        <v>5672</v>
      </c>
      <c r="B291" s="257">
        <v>44531</v>
      </c>
      <c r="C291" s="385" t="s">
        <v>1893</v>
      </c>
      <c r="D291" s="388" t="s">
        <v>2738</v>
      </c>
      <c r="E291" s="209" t="s">
        <v>1834</v>
      </c>
      <c r="F291" s="210" t="s">
        <v>1838</v>
      </c>
      <c r="G291" s="485" t="s">
        <v>131</v>
      </c>
      <c r="H291" s="718" t="s">
        <v>1982</v>
      </c>
      <c r="I291" s="719" t="s">
        <v>1753</v>
      </c>
      <c r="J291" s="718" t="s">
        <v>46</v>
      </c>
      <c r="K291" s="587">
        <v>46338</v>
      </c>
      <c r="L291" s="721" t="s">
        <v>3047</v>
      </c>
      <c r="M291" s="718" t="s">
        <v>26</v>
      </c>
      <c r="N291" s="733" t="s">
        <v>2532</v>
      </c>
      <c r="O291" s="452" t="s">
        <v>2533</v>
      </c>
      <c r="P291" s="452"/>
    </row>
    <row r="292" spans="1:16" s="1" customFormat="1" ht="69" customHeight="1" x14ac:dyDescent="0.25">
      <c r="A292" s="207">
        <v>5673</v>
      </c>
      <c r="B292" s="257">
        <v>44470</v>
      </c>
      <c r="C292" s="385" t="s">
        <v>1894</v>
      </c>
      <c r="D292" s="388" t="s">
        <v>2739</v>
      </c>
      <c r="E292" s="209" t="s">
        <v>1835</v>
      </c>
      <c r="F292" s="210" t="s">
        <v>1839</v>
      </c>
      <c r="G292" s="485" t="s">
        <v>202</v>
      </c>
      <c r="H292" s="718" t="s">
        <v>2948</v>
      </c>
      <c r="I292" s="719" t="s">
        <v>1753</v>
      </c>
      <c r="J292" s="718" t="s">
        <v>678</v>
      </c>
      <c r="K292" s="587">
        <v>46288</v>
      </c>
      <c r="L292" s="968">
        <v>46288</v>
      </c>
      <c r="M292" s="852" t="s">
        <v>26</v>
      </c>
      <c r="N292" s="733"/>
      <c r="O292" s="452"/>
      <c r="P292" s="452"/>
    </row>
    <row r="293" spans="1:16" s="1" customFormat="1" ht="69" customHeight="1" x14ac:dyDescent="0.25">
      <c r="A293" s="303">
        <v>5675</v>
      </c>
      <c r="B293" s="304">
        <v>44378</v>
      </c>
      <c r="C293" s="371" t="s">
        <v>1833</v>
      </c>
      <c r="D293" s="10" t="s">
        <v>2726</v>
      </c>
      <c r="E293" s="189" t="s">
        <v>1837</v>
      </c>
      <c r="F293" s="273" t="s">
        <v>1841</v>
      </c>
      <c r="G293" s="526" t="s">
        <v>2444</v>
      </c>
      <c r="H293" s="528" t="s">
        <v>1995</v>
      </c>
      <c r="I293" s="527" t="s">
        <v>1826</v>
      </c>
      <c r="J293" s="528" t="s">
        <v>678</v>
      </c>
      <c r="K293" s="919">
        <v>46630</v>
      </c>
      <c r="L293" s="568" t="s">
        <v>3118</v>
      </c>
      <c r="M293" s="528" t="s">
        <v>26</v>
      </c>
      <c r="N293" s="569"/>
      <c r="O293" s="459"/>
      <c r="P293" s="459"/>
    </row>
    <row r="294" spans="1:16" s="1" customFormat="1" ht="69" customHeight="1" x14ac:dyDescent="0.25">
      <c r="A294" s="303">
        <v>5676</v>
      </c>
      <c r="B294" s="304">
        <v>44409</v>
      </c>
      <c r="C294" s="371" t="s">
        <v>1852</v>
      </c>
      <c r="D294" s="10" t="s">
        <v>2726</v>
      </c>
      <c r="E294" s="189" t="s">
        <v>1848</v>
      </c>
      <c r="F294" s="273" t="s">
        <v>1849</v>
      </c>
      <c r="G294" s="526" t="s">
        <v>2019</v>
      </c>
      <c r="H294" s="528" t="s">
        <v>2830</v>
      </c>
      <c r="I294" s="527" t="s">
        <v>33</v>
      </c>
      <c r="J294" s="528" t="s">
        <v>46</v>
      </c>
      <c r="K294" s="585">
        <v>46433</v>
      </c>
      <c r="L294" s="568" t="s">
        <v>2935</v>
      </c>
      <c r="M294" s="528" t="s">
        <v>47</v>
      </c>
      <c r="N294" s="569">
        <v>200</v>
      </c>
      <c r="O294" s="459"/>
      <c r="P294" s="459" t="s">
        <v>416</v>
      </c>
    </row>
    <row r="295" spans="1:16" s="1" customFormat="1" ht="72" x14ac:dyDescent="0.25">
      <c r="A295" s="408">
        <v>5677</v>
      </c>
      <c r="B295" s="481">
        <v>44440</v>
      </c>
      <c r="C295" s="559" t="s">
        <v>2379</v>
      </c>
      <c r="D295" s="552" t="s">
        <v>2726</v>
      </c>
      <c r="E295" s="17" t="s">
        <v>1855</v>
      </c>
      <c r="F295" s="349" t="s">
        <v>1856</v>
      </c>
      <c r="G295" s="528" t="s">
        <v>2833</v>
      </c>
      <c r="H295" s="528" t="s">
        <v>2007</v>
      </c>
      <c r="I295" s="527" t="s">
        <v>1857</v>
      </c>
      <c r="J295" s="528" t="s">
        <v>678</v>
      </c>
      <c r="K295" s="580">
        <v>46243</v>
      </c>
      <c r="L295" s="425" t="s">
        <v>3206</v>
      </c>
      <c r="M295" s="349" t="s">
        <v>26</v>
      </c>
      <c r="N295" s="569" t="s">
        <v>2970</v>
      </c>
      <c r="O295" s="459" t="s">
        <v>2970</v>
      </c>
      <c r="P295" s="459"/>
    </row>
    <row r="296" spans="1:16" s="567" customFormat="1" ht="48" x14ac:dyDescent="0.25">
      <c r="A296" s="303">
        <v>5678</v>
      </c>
      <c r="B296" s="304">
        <v>44440</v>
      </c>
      <c r="C296" s="371" t="s">
        <v>1876</v>
      </c>
      <c r="D296" s="10" t="s">
        <v>2726</v>
      </c>
      <c r="E296" s="189" t="s">
        <v>1877</v>
      </c>
      <c r="F296" s="273" t="s">
        <v>1880</v>
      </c>
      <c r="G296" s="526" t="s">
        <v>1909</v>
      </c>
      <c r="H296" s="528" t="s">
        <v>2082</v>
      </c>
      <c r="I296" s="527" t="s">
        <v>33</v>
      </c>
      <c r="J296" s="528" t="s">
        <v>2158</v>
      </c>
      <c r="K296" s="585">
        <v>46447</v>
      </c>
      <c r="L296" s="568" t="s">
        <v>2997</v>
      </c>
      <c r="M296" s="528" t="s">
        <v>47</v>
      </c>
      <c r="N296" s="569"/>
      <c r="O296" s="459"/>
      <c r="P296" s="459"/>
    </row>
    <row r="297" spans="1:16" s="9" customFormat="1" ht="60" x14ac:dyDescent="0.25">
      <c r="A297" s="303">
        <v>5679</v>
      </c>
      <c r="B297" s="304">
        <v>44531</v>
      </c>
      <c r="C297" s="476" t="s">
        <v>1883</v>
      </c>
      <c r="D297" s="10" t="s">
        <v>2732</v>
      </c>
      <c r="E297" s="189" t="s">
        <v>1882</v>
      </c>
      <c r="F297" s="273" t="s">
        <v>1913</v>
      </c>
      <c r="G297" s="526" t="s">
        <v>2229</v>
      </c>
      <c r="H297" s="528" t="s">
        <v>2789</v>
      </c>
      <c r="I297" s="527" t="s">
        <v>1721</v>
      </c>
      <c r="J297" s="528" t="s">
        <v>46</v>
      </c>
      <c r="K297" s="580">
        <v>46326</v>
      </c>
      <c r="L297" s="568">
        <v>45931</v>
      </c>
      <c r="M297" s="528" t="s">
        <v>52</v>
      </c>
      <c r="N297" s="569"/>
      <c r="O297" s="459"/>
      <c r="P297" s="459"/>
    </row>
    <row r="298" spans="1:16" s="1" customFormat="1" ht="96" x14ac:dyDescent="0.25">
      <c r="A298" s="521">
        <v>5681</v>
      </c>
      <c r="B298" s="522">
        <v>44562</v>
      </c>
      <c r="C298" s="523" t="s">
        <v>1938</v>
      </c>
      <c r="D298" s="524" t="s">
        <v>2726</v>
      </c>
      <c r="E298" s="525" t="s">
        <v>1887</v>
      </c>
      <c r="F298" s="526" t="s">
        <v>1888</v>
      </c>
      <c r="G298" s="526" t="s">
        <v>3120</v>
      </c>
      <c r="H298" s="526" t="s">
        <v>2662</v>
      </c>
      <c r="I298" s="527" t="s">
        <v>33</v>
      </c>
      <c r="J298" s="528" t="s">
        <v>2158</v>
      </c>
      <c r="K298" s="580">
        <v>46356</v>
      </c>
      <c r="L298" s="529">
        <v>45626</v>
      </c>
      <c r="M298" s="526" t="s">
        <v>47</v>
      </c>
      <c r="N298" s="530">
        <v>200</v>
      </c>
      <c r="O298" s="530"/>
      <c r="P298" s="530" t="s">
        <v>35</v>
      </c>
    </row>
    <row r="299" spans="1:16" s="1" customFormat="1" ht="108" x14ac:dyDescent="0.25">
      <c r="A299" s="303">
        <v>5682</v>
      </c>
      <c r="B299" s="304">
        <v>44531</v>
      </c>
      <c r="C299" s="305" t="s">
        <v>1963</v>
      </c>
      <c r="D299" s="10" t="s">
        <v>2731</v>
      </c>
      <c r="E299" s="189" t="s">
        <v>1889</v>
      </c>
      <c r="F299" s="273" t="s">
        <v>1891</v>
      </c>
      <c r="G299" s="526" t="s">
        <v>2229</v>
      </c>
      <c r="H299" s="528"/>
      <c r="I299" s="527" t="s">
        <v>1715</v>
      </c>
      <c r="J299" s="528" t="s">
        <v>2158</v>
      </c>
      <c r="K299" s="578">
        <v>46324</v>
      </c>
      <c r="L299" s="568">
        <v>45959</v>
      </c>
      <c r="M299" s="528" t="s">
        <v>26</v>
      </c>
      <c r="N299" s="569"/>
      <c r="O299" s="459"/>
      <c r="P299" s="459"/>
    </row>
    <row r="300" spans="1:16" s="1" customFormat="1" ht="132" x14ac:dyDescent="0.25">
      <c r="A300" s="303">
        <v>5683</v>
      </c>
      <c r="B300" s="304">
        <v>44501</v>
      </c>
      <c r="C300" s="305" t="s">
        <v>1897</v>
      </c>
      <c r="D300" s="10" t="s">
        <v>2741</v>
      </c>
      <c r="E300" s="189" t="s">
        <v>1895</v>
      </c>
      <c r="F300" s="273" t="s">
        <v>1896</v>
      </c>
      <c r="G300" s="526" t="s">
        <v>2501</v>
      </c>
      <c r="H300" s="528" t="s">
        <v>2723</v>
      </c>
      <c r="I300" s="527" t="s">
        <v>33</v>
      </c>
      <c r="J300" s="528" t="s">
        <v>429</v>
      </c>
      <c r="K300" s="580">
        <v>46295</v>
      </c>
      <c r="L300" s="907">
        <v>46295</v>
      </c>
      <c r="M300" s="903" t="s">
        <v>26</v>
      </c>
      <c r="N300" s="569">
        <v>100</v>
      </c>
      <c r="O300" s="459"/>
      <c r="P300" s="459"/>
    </row>
    <row r="301" spans="1:16" s="373" customFormat="1" ht="48" x14ac:dyDescent="0.2">
      <c r="A301" s="303">
        <v>5684</v>
      </c>
      <c r="B301" s="304">
        <v>44501</v>
      </c>
      <c r="C301" s="305" t="s">
        <v>1918</v>
      </c>
      <c r="D301" s="10" t="s">
        <v>2727</v>
      </c>
      <c r="E301" s="189" t="s">
        <v>1906</v>
      </c>
      <c r="F301" s="273" t="s">
        <v>346</v>
      </c>
      <c r="G301" s="526" t="s">
        <v>2444</v>
      </c>
      <c r="H301" s="528"/>
      <c r="I301" s="527" t="s">
        <v>39</v>
      </c>
      <c r="J301" s="528" t="s">
        <v>678</v>
      </c>
      <c r="K301" s="580">
        <v>46324</v>
      </c>
      <c r="L301" s="568">
        <v>45959</v>
      </c>
      <c r="M301" s="528" t="s">
        <v>52</v>
      </c>
      <c r="N301" s="569" t="s">
        <v>1917</v>
      </c>
      <c r="O301" s="459"/>
      <c r="P301" s="459"/>
    </row>
    <row r="302" spans="1:16" ht="60" x14ac:dyDescent="0.25">
      <c r="A302" s="303">
        <v>5685</v>
      </c>
      <c r="B302" s="304">
        <v>44562</v>
      </c>
      <c r="C302" s="305" t="s">
        <v>1907</v>
      </c>
      <c r="D302" s="10" t="s">
        <v>2727</v>
      </c>
      <c r="E302" s="189" t="s">
        <v>1908</v>
      </c>
      <c r="F302" s="273" t="s">
        <v>1911</v>
      </c>
      <c r="G302" s="526" t="s">
        <v>3155</v>
      </c>
      <c r="H302" s="528" t="s">
        <v>2852</v>
      </c>
      <c r="I302" s="527" t="s">
        <v>33</v>
      </c>
      <c r="J302" s="528" t="s">
        <v>678</v>
      </c>
      <c r="K302" s="580">
        <v>46198</v>
      </c>
      <c r="L302" s="568" t="s">
        <v>3105</v>
      </c>
      <c r="M302" s="528" t="s">
        <v>26</v>
      </c>
      <c r="N302" s="569">
        <v>200</v>
      </c>
      <c r="O302" s="459"/>
      <c r="P302" s="459"/>
    </row>
    <row r="303" spans="1:16" ht="112.5" customHeight="1" x14ac:dyDescent="0.25">
      <c r="A303" s="303">
        <v>5688</v>
      </c>
      <c r="B303" s="304">
        <v>44531</v>
      </c>
      <c r="C303" s="305" t="s">
        <v>1925</v>
      </c>
      <c r="D303" s="10" t="s">
        <v>2726</v>
      </c>
      <c r="E303" s="189" t="s">
        <v>1926</v>
      </c>
      <c r="F303" s="273" t="s">
        <v>1927</v>
      </c>
      <c r="G303" s="526" t="s">
        <v>90</v>
      </c>
      <c r="H303" s="528" t="s">
        <v>2347</v>
      </c>
      <c r="I303" s="527" t="s">
        <v>33</v>
      </c>
      <c r="J303" s="528" t="s">
        <v>678</v>
      </c>
      <c r="K303" s="580">
        <v>46478</v>
      </c>
      <c r="L303" s="568">
        <v>45833</v>
      </c>
      <c r="M303" s="528" t="s">
        <v>295</v>
      </c>
      <c r="N303" s="569" t="s">
        <v>2189</v>
      </c>
      <c r="O303" s="459"/>
      <c r="P303" s="459"/>
    </row>
    <row r="304" spans="1:16" s="534" customFormat="1" ht="96" x14ac:dyDescent="0.25">
      <c r="A304" s="807">
        <v>5689</v>
      </c>
      <c r="B304" s="808">
        <v>44682</v>
      </c>
      <c r="C304" s="809" t="s">
        <v>2199</v>
      </c>
      <c r="D304" s="810" t="s">
        <v>2742</v>
      </c>
      <c r="E304" s="730" t="s">
        <v>1940</v>
      </c>
      <c r="F304" s="735" t="s">
        <v>2039</v>
      </c>
      <c r="G304" s="735" t="s">
        <v>38</v>
      </c>
      <c r="H304" s="731" t="s">
        <v>2516</v>
      </c>
      <c r="I304" s="732" t="s">
        <v>33</v>
      </c>
      <c r="J304" s="731" t="s">
        <v>46</v>
      </c>
      <c r="K304" s="811">
        <v>46478</v>
      </c>
      <c r="L304" s="736" t="s">
        <v>3025</v>
      </c>
      <c r="M304" s="731" t="s">
        <v>26</v>
      </c>
      <c r="N304" s="737"/>
      <c r="O304" s="737"/>
      <c r="P304" s="737"/>
    </row>
    <row r="305" spans="1:16" ht="78" customHeight="1" x14ac:dyDescent="0.25">
      <c r="A305" s="303">
        <v>5690</v>
      </c>
      <c r="B305" s="304">
        <v>44805</v>
      </c>
      <c r="C305" s="305" t="s">
        <v>2056</v>
      </c>
      <c r="D305" s="10" t="s">
        <v>2727</v>
      </c>
      <c r="E305" s="189" t="s">
        <v>1965</v>
      </c>
      <c r="F305" s="273" t="s">
        <v>1966</v>
      </c>
      <c r="G305" s="273" t="s">
        <v>202</v>
      </c>
      <c r="H305" s="349" t="s">
        <v>2503</v>
      </c>
      <c r="I305" s="17" t="s">
        <v>1745</v>
      </c>
      <c r="J305" s="349" t="s">
        <v>678</v>
      </c>
      <c r="K305" s="580">
        <v>46243</v>
      </c>
      <c r="L305" s="425" t="s">
        <v>3206</v>
      </c>
      <c r="M305" s="349" t="s">
        <v>52</v>
      </c>
      <c r="N305" s="459">
        <v>150</v>
      </c>
      <c r="O305" s="459">
        <v>150</v>
      </c>
      <c r="P305" s="459"/>
    </row>
    <row r="306" spans="1:16" s="29" customFormat="1" ht="109.5" customHeight="1" x14ac:dyDescent="0.25">
      <c r="A306" s="303">
        <v>5691</v>
      </c>
      <c r="B306" s="304">
        <v>44805</v>
      </c>
      <c r="C306" s="305" t="s">
        <v>2042</v>
      </c>
      <c r="D306" s="10" t="s">
        <v>2727</v>
      </c>
      <c r="E306" s="189" t="s">
        <v>2043</v>
      </c>
      <c r="F306" s="273" t="s">
        <v>1501</v>
      </c>
      <c r="G306" s="544" t="s">
        <v>3198</v>
      </c>
      <c r="H306" s="349" t="s">
        <v>2637</v>
      </c>
      <c r="I306" s="17"/>
      <c r="J306" s="349" t="s">
        <v>678</v>
      </c>
      <c r="K306" s="580">
        <v>46243</v>
      </c>
      <c r="L306" s="425" t="s">
        <v>3206</v>
      </c>
      <c r="M306" s="349" t="s">
        <v>52</v>
      </c>
      <c r="N306" s="459"/>
      <c r="O306" s="459"/>
      <c r="P306" s="459"/>
    </row>
    <row r="307" spans="1:16" s="534" customFormat="1" ht="48" x14ac:dyDescent="0.25">
      <c r="A307" s="303">
        <v>5692</v>
      </c>
      <c r="B307" s="304"/>
      <c r="C307" s="305" t="s">
        <v>2054</v>
      </c>
      <c r="D307" s="10" t="s">
        <v>2727</v>
      </c>
      <c r="E307" s="189"/>
      <c r="F307" s="273"/>
      <c r="G307" s="273" t="s">
        <v>202</v>
      </c>
      <c r="H307" s="349"/>
      <c r="I307" s="349" t="s">
        <v>2068</v>
      </c>
      <c r="J307" s="349" t="s">
        <v>678</v>
      </c>
      <c r="K307" s="580">
        <v>46243</v>
      </c>
      <c r="L307" s="425">
        <v>45878</v>
      </c>
      <c r="M307" s="349"/>
      <c r="N307" s="459"/>
      <c r="O307" s="459"/>
      <c r="P307" s="459"/>
    </row>
    <row r="308" spans="1:16" s="32" customFormat="1" ht="108" x14ac:dyDescent="0.2">
      <c r="A308" s="283">
        <v>5693</v>
      </c>
      <c r="B308" s="284">
        <v>44774</v>
      </c>
      <c r="C308" s="285" t="s">
        <v>2063</v>
      </c>
      <c r="D308" s="397" t="s">
        <v>2727</v>
      </c>
      <c r="E308" s="286" t="s">
        <v>2008</v>
      </c>
      <c r="F308" s="735" t="s">
        <v>2064</v>
      </c>
      <c r="G308" s="735" t="s">
        <v>3176</v>
      </c>
      <c r="H308" s="731" t="s">
        <v>2577</v>
      </c>
      <c r="I308" s="732"/>
      <c r="J308" s="731" t="s">
        <v>678</v>
      </c>
      <c r="K308" s="593">
        <v>46210</v>
      </c>
      <c r="L308" s="736" t="s">
        <v>3165</v>
      </c>
      <c r="M308" s="731" t="s">
        <v>52</v>
      </c>
      <c r="N308" s="387"/>
      <c r="O308" s="387"/>
      <c r="P308" s="387"/>
    </row>
    <row r="309" spans="1:16" s="32" customFormat="1" ht="36" x14ac:dyDescent="0.2">
      <c r="A309" s="3">
        <v>5695</v>
      </c>
      <c r="B309" s="246">
        <v>45123</v>
      </c>
      <c r="C309" s="11" t="s">
        <v>2176</v>
      </c>
      <c r="D309" s="10" t="s">
        <v>2725</v>
      </c>
      <c r="E309" s="4" t="s">
        <v>2177</v>
      </c>
      <c r="F309" s="11" t="s">
        <v>2178</v>
      </c>
      <c r="G309" s="11" t="s">
        <v>44</v>
      </c>
      <c r="H309" s="20" t="s">
        <v>2283</v>
      </c>
      <c r="I309" s="17" t="s">
        <v>2179</v>
      </c>
      <c r="J309" s="20" t="s">
        <v>2834</v>
      </c>
      <c r="K309" s="583">
        <v>46266</v>
      </c>
      <c r="L309" s="545" t="s">
        <v>3202</v>
      </c>
      <c r="M309" s="544" t="s">
        <v>47</v>
      </c>
      <c r="N309" s="445"/>
      <c r="O309" s="445"/>
      <c r="P309" s="445"/>
    </row>
    <row r="310" spans="1:16" s="32" customFormat="1" ht="96" x14ac:dyDescent="0.2">
      <c r="A310" s="207">
        <v>5699</v>
      </c>
      <c r="B310" s="366">
        <v>44896</v>
      </c>
      <c r="C310" s="242" t="s">
        <v>2311</v>
      </c>
      <c r="D310" s="208" t="s">
        <v>2726</v>
      </c>
      <c r="E310" s="209" t="s">
        <v>2037</v>
      </c>
      <c r="F310" s="210" t="s">
        <v>2038</v>
      </c>
      <c r="G310" s="210" t="s">
        <v>202</v>
      </c>
      <c r="H310" s="281" t="s">
        <v>2381</v>
      </c>
      <c r="I310" s="211"/>
      <c r="J310" s="281" t="s">
        <v>678</v>
      </c>
      <c r="K310" s="587">
        <v>46329</v>
      </c>
      <c r="L310" s="413">
        <v>45964</v>
      </c>
      <c r="M310" s="281" t="s">
        <v>47</v>
      </c>
      <c r="N310" s="452"/>
      <c r="O310" s="452"/>
      <c r="P310" s="452"/>
    </row>
    <row r="311" spans="1:16" s="33" customFormat="1" ht="48" x14ac:dyDescent="0.2">
      <c r="A311" s="303">
        <v>5700</v>
      </c>
      <c r="B311" s="304">
        <v>44805</v>
      </c>
      <c r="C311" s="305" t="s">
        <v>2050</v>
      </c>
      <c r="D311" s="10" t="s">
        <v>2728</v>
      </c>
      <c r="E311" s="189" t="s">
        <v>2045</v>
      </c>
      <c r="F311" s="273" t="s">
        <v>160</v>
      </c>
      <c r="G311" s="273" t="s">
        <v>50</v>
      </c>
      <c r="H311" s="349"/>
      <c r="I311" s="17" t="s">
        <v>33</v>
      </c>
      <c r="J311" s="349" t="s">
        <v>678</v>
      </c>
      <c r="K311" s="580">
        <v>46249</v>
      </c>
      <c r="L311" s="425" t="s">
        <v>3203</v>
      </c>
      <c r="M311" s="349" t="s">
        <v>52</v>
      </c>
      <c r="N311" s="459"/>
      <c r="O311" s="459"/>
      <c r="P311" s="459"/>
    </row>
    <row r="312" spans="1:16" s="32" customFormat="1" ht="48" x14ac:dyDescent="0.2">
      <c r="A312" s="303">
        <v>5702</v>
      </c>
      <c r="B312" s="370">
        <v>44805</v>
      </c>
      <c r="C312" s="305" t="s">
        <v>2070</v>
      </c>
      <c r="D312" s="10" t="s">
        <v>2730</v>
      </c>
      <c r="E312" s="189" t="s">
        <v>2055</v>
      </c>
      <c r="F312" s="273" t="s">
        <v>133</v>
      </c>
      <c r="G312" s="273" t="s">
        <v>2229</v>
      </c>
      <c r="H312" s="349" t="s">
        <v>2638</v>
      </c>
      <c r="I312" s="17" t="s">
        <v>33</v>
      </c>
      <c r="J312" s="349" t="s">
        <v>429</v>
      </c>
      <c r="K312" s="580">
        <v>46265</v>
      </c>
      <c r="L312" s="425" t="s">
        <v>3199</v>
      </c>
      <c r="M312" s="349" t="s">
        <v>52</v>
      </c>
      <c r="N312" s="459"/>
      <c r="O312" s="459"/>
      <c r="P312" s="459"/>
    </row>
    <row r="313" spans="1:16" s="33" customFormat="1" ht="60" x14ac:dyDescent="0.2">
      <c r="A313" s="303">
        <v>5704</v>
      </c>
      <c r="B313" s="370">
        <v>44880</v>
      </c>
      <c r="C313" s="305" t="s">
        <v>2092</v>
      </c>
      <c r="D313" s="10" t="s">
        <v>2725</v>
      </c>
      <c r="E313" s="189" t="s">
        <v>2072</v>
      </c>
      <c r="F313" s="273" t="s">
        <v>2073</v>
      </c>
      <c r="G313" s="273" t="s">
        <v>1939</v>
      </c>
      <c r="H313" s="349" t="s">
        <v>2285</v>
      </c>
      <c r="I313" s="17" t="s">
        <v>33</v>
      </c>
      <c r="J313" s="349" t="s">
        <v>2978</v>
      </c>
      <c r="K313" s="580">
        <v>46387</v>
      </c>
      <c r="L313" s="425" t="s">
        <v>2857</v>
      </c>
      <c r="M313" s="349" t="s">
        <v>26</v>
      </c>
      <c r="N313" s="459"/>
      <c r="O313" s="459"/>
      <c r="P313" s="459"/>
    </row>
    <row r="314" spans="1:16" s="33" customFormat="1" ht="48" x14ac:dyDescent="0.2">
      <c r="A314" s="303">
        <v>5705</v>
      </c>
      <c r="B314" s="370">
        <v>44866</v>
      </c>
      <c r="C314" s="305" t="s">
        <v>2069</v>
      </c>
      <c r="D314" s="10" t="s">
        <v>2732</v>
      </c>
      <c r="E314" s="189" t="s">
        <v>2071</v>
      </c>
      <c r="F314" s="273" t="s">
        <v>428</v>
      </c>
      <c r="G314" s="273" t="s">
        <v>2229</v>
      </c>
      <c r="H314" s="349"/>
      <c r="I314" s="17" t="s">
        <v>33</v>
      </c>
      <c r="J314" s="349" t="s">
        <v>2158</v>
      </c>
      <c r="K314" s="580">
        <v>46326</v>
      </c>
      <c r="L314" s="425">
        <v>45961</v>
      </c>
      <c r="M314" s="349" t="s">
        <v>47</v>
      </c>
      <c r="N314" s="459"/>
      <c r="O314" s="459"/>
      <c r="P314" s="459"/>
    </row>
    <row r="315" spans="1:16" s="33" customFormat="1" ht="72" x14ac:dyDescent="0.2">
      <c r="A315" s="303">
        <v>5706</v>
      </c>
      <c r="B315" s="370">
        <v>44866</v>
      </c>
      <c r="C315" s="305" t="s">
        <v>2253</v>
      </c>
      <c r="D315" s="10" t="s">
        <v>2731</v>
      </c>
      <c r="E315" s="189" t="s">
        <v>2077</v>
      </c>
      <c r="F315" s="273" t="s">
        <v>2078</v>
      </c>
      <c r="G315" s="273" t="s">
        <v>2501</v>
      </c>
      <c r="H315" s="349"/>
      <c r="I315" s="17" t="s">
        <v>2079</v>
      </c>
      <c r="J315" s="349" t="s">
        <v>678</v>
      </c>
      <c r="K315" s="578">
        <v>46433</v>
      </c>
      <c r="L315" s="425" t="s">
        <v>2817</v>
      </c>
      <c r="M315" s="349" t="s">
        <v>26</v>
      </c>
      <c r="N315" s="459"/>
      <c r="O315" s="459"/>
      <c r="P315" s="459"/>
    </row>
    <row r="316" spans="1:16" s="32" customFormat="1" ht="48" x14ac:dyDescent="0.2">
      <c r="A316" s="303">
        <v>5708</v>
      </c>
      <c r="B316" s="370">
        <v>44927</v>
      </c>
      <c r="C316" s="305" t="s">
        <v>2693</v>
      </c>
      <c r="D316" s="10" t="s">
        <v>2725</v>
      </c>
      <c r="E316" s="189" t="s">
        <v>2101</v>
      </c>
      <c r="F316" s="273" t="s">
        <v>2102</v>
      </c>
      <c r="G316" s="273" t="s">
        <v>189</v>
      </c>
      <c r="H316" s="528" t="s">
        <v>3143</v>
      </c>
      <c r="I316" s="17" t="s">
        <v>33</v>
      </c>
      <c r="J316" s="528" t="s">
        <v>678</v>
      </c>
      <c r="K316" s="580">
        <v>46504</v>
      </c>
      <c r="L316" s="425"/>
      <c r="M316" s="349"/>
      <c r="N316" s="459"/>
      <c r="O316" s="459"/>
      <c r="P316" s="459"/>
    </row>
    <row r="317" spans="1:16" s="17" customFormat="1" ht="108" x14ac:dyDescent="0.25">
      <c r="A317" s="305" t="s">
        <v>2908</v>
      </c>
      <c r="B317" s="370">
        <v>44986</v>
      </c>
      <c r="C317" s="305" t="s">
        <v>2109</v>
      </c>
      <c r="D317" s="10" t="s">
        <v>2750</v>
      </c>
      <c r="E317" s="189" t="s">
        <v>2107</v>
      </c>
      <c r="F317" s="273" t="s">
        <v>2108</v>
      </c>
      <c r="G317" s="273" t="s">
        <v>2041</v>
      </c>
      <c r="H317" s="528" t="s">
        <v>3018</v>
      </c>
      <c r="I317" s="17" t="s">
        <v>2079</v>
      </c>
      <c r="J317" s="349" t="s">
        <v>678</v>
      </c>
      <c r="K317" s="580">
        <v>46359</v>
      </c>
      <c r="L317" s="425" t="s">
        <v>2892</v>
      </c>
      <c r="M317" s="349" t="s">
        <v>26</v>
      </c>
      <c r="N317" s="459">
        <v>100</v>
      </c>
      <c r="O317" s="459">
        <v>100</v>
      </c>
      <c r="P317" s="459"/>
    </row>
    <row r="318" spans="1:16" s="32" customFormat="1" ht="48" x14ac:dyDescent="0.2">
      <c r="A318" s="303">
        <v>5710</v>
      </c>
      <c r="B318" s="370">
        <v>44958</v>
      </c>
      <c r="C318" s="523" t="s">
        <v>2111</v>
      </c>
      <c r="D318" s="524" t="s">
        <v>2725</v>
      </c>
      <c r="E318" s="525" t="s">
        <v>2112</v>
      </c>
      <c r="F318" s="526" t="s">
        <v>2110</v>
      </c>
      <c r="G318" s="526" t="s">
        <v>189</v>
      </c>
      <c r="H318" s="528" t="s">
        <v>3143</v>
      </c>
      <c r="I318" s="527" t="s">
        <v>33</v>
      </c>
      <c r="J318" s="528" t="s">
        <v>678</v>
      </c>
      <c r="K318" s="934">
        <v>46504</v>
      </c>
      <c r="L318" s="568"/>
      <c r="M318" s="528"/>
      <c r="N318" s="569"/>
      <c r="O318" s="459"/>
      <c r="P318" s="459"/>
    </row>
    <row r="319" spans="1:16" s="32" customFormat="1" ht="57.75" customHeight="1" x14ac:dyDescent="0.2">
      <c r="A319" s="521">
        <v>5711</v>
      </c>
      <c r="B319" s="531">
        <v>44986</v>
      </c>
      <c r="C319" s="523" t="s">
        <v>2115</v>
      </c>
      <c r="D319" s="524" t="s">
        <v>2726</v>
      </c>
      <c r="E319" s="525" t="s">
        <v>2116</v>
      </c>
      <c r="F319" s="526" t="s">
        <v>2117</v>
      </c>
      <c r="G319" s="526" t="s">
        <v>2375</v>
      </c>
      <c r="H319" s="526" t="s">
        <v>2690</v>
      </c>
      <c r="I319" s="527" t="s">
        <v>2079</v>
      </c>
      <c r="J319" s="528" t="s">
        <v>46</v>
      </c>
      <c r="K319" s="585">
        <v>46433</v>
      </c>
      <c r="L319" s="568">
        <v>45337</v>
      </c>
      <c r="M319" s="526" t="s">
        <v>47</v>
      </c>
      <c r="N319" s="530">
        <v>200</v>
      </c>
      <c r="O319" s="530">
        <v>200</v>
      </c>
      <c r="P319" s="530" t="s">
        <v>35</v>
      </c>
    </row>
    <row r="320" spans="1:16" s="520" customFormat="1" ht="60" x14ac:dyDescent="0.2">
      <c r="A320" s="812">
        <v>5712</v>
      </c>
      <c r="B320" s="813">
        <v>44961</v>
      </c>
      <c r="C320" s="738" t="s">
        <v>2124</v>
      </c>
      <c r="D320" s="739" t="s">
        <v>2742</v>
      </c>
      <c r="E320" s="740"/>
      <c r="F320" s="741" t="s">
        <v>28</v>
      </c>
      <c r="G320" s="741" t="s">
        <v>38</v>
      </c>
      <c r="H320" s="742" t="s">
        <v>2469</v>
      </c>
      <c r="I320" s="743" t="s">
        <v>118</v>
      </c>
      <c r="J320" s="742" t="s">
        <v>46</v>
      </c>
      <c r="K320" s="814">
        <v>46478</v>
      </c>
      <c r="L320" s="744"/>
      <c r="M320" s="742"/>
      <c r="N320" s="745"/>
      <c r="O320" s="745"/>
      <c r="P320" s="745"/>
    </row>
    <row r="321" spans="1:16" s="32" customFormat="1" ht="24" x14ac:dyDescent="0.2">
      <c r="A321" s="3">
        <v>5714</v>
      </c>
      <c r="B321" s="246">
        <v>45047</v>
      </c>
      <c r="C321" s="562" t="s">
        <v>2123</v>
      </c>
      <c r="D321" s="524" t="s">
        <v>2746</v>
      </c>
      <c r="E321" s="563" t="s">
        <v>2121</v>
      </c>
      <c r="F321" s="538" t="s">
        <v>2122</v>
      </c>
      <c r="G321" s="538" t="s">
        <v>2118</v>
      </c>
      <c r="H321" s="544" t="s">
        <v>110</v>
      </c>
      <c r="I321" s="527" t="s">
        <v>33</v>
      </c>
      <c r="J321" s="544" t="s">
        <v>2158</v>
      </c>
      <c r="K321" s="912">
        <v>46567</v>
      </c>
      <c r="L321" s="545" t="s">
        <v>3111</v>
      </c>
      <c r="M321" s="544" t="s">
        <v>47</v>
      </c>
      <c r="N321" s="566"/>
      <c r="O321" s="445"/>
      <c r="P321" s="445"/>
    </row>
    <row r="322" spans="1:16" s="32" customFormat="1" ht="51" customHeight="1" x14ac:dyDescent="0.2">
      <c r="A322" s="3">
        <v>5715</v>
      </c>
      <c r="B322" s="246">
        <v>45047</v>
      </c>
      <c r="C322" s="538" t="s">
        <v>2138</v>
      </c>
      <c r="D322" s="524" t="s">
        <v>2727</v>
      </c>
      <c r="E322" s="563" t="s">
        <v>2126</v>
      </c>
      <c r="F322" s="538" t="s">
        <v>2127</v>
      </c>
      <c r="G322" s="538" t="s">
        <v>2118</v>
      </c>
      <c r="H322" s="544" t="s">
        <v>2496</v>
      </c>
      <c r="I322" s="527" t="s">
        <v>33</v>
      </c>
      <c r="J322" s="925" t="s">
        <v>678</v>
      </c>
      <c r="K322" s="926">
        <v>46503</v>
      </c>
      <c r="L322" s="545" t="s">
        <v>3038</v>
      </c>
      <c r="M322" s="544" t="s">
        <v>47</v>
      </c>
      <c r="N322" s="566"/>
      <c r="O322" s="445"/>
      <c r="P322" s="445"/>
    </row>
    <row r="323" spans="1:16" s="17" customFormat="1" ht="84" x14ac:dyDescent="0.25">
      <c r="A323" s="2" t="s">
        <v>2157</v>
      </c>
      <c r="B323" s="246">
        <v>45047</v>
      </c>
      <c r="C323" s="538" t="s">
        <v>2156</v>
      </c>
      <c r="D323" s="524" t="s">
        <v>2731</v>
      </c>
      <c r="E323" s="563" t="s">
        <v>2135</v>
      </c>
      <c r="F323" s="538" t="s">
        <v>2154</v>
      </c>
      <c r="G323" s="538" t="s">
        <v>84</v>
      </c>
      <c r="H323" s="544" t="s">
        <v>2286</v>
      </c>
      <c r="I323" s="527" t="s">
        <v>2079</v>
      </c>
      <c r="J323" s="528" t="s">
        <v>678</v>
      </c>
      <c r="K323" s="583">
        <v>46508</v>
      </c>
      <c r="L323" s="545"/>
      <c r="M323" s="544"/>
      <c r="N323" s="528" t="s">
        <v>3193</v>
      </c>
      <c r="O323" s="445"/>
      <c r="P323" s="445"/>
    </row>
    <row r="324" spans="1:16" s="17" customFormat="1" ht="281.25" customHeight="1" x14ac:dyDescent="0.25">
      <c r="A324" s="2" t="s">
        <v>2155</v>
      </c>
      <c r="B324" s="246">
        <v>45047</v>
      </c>
      <c r="C324" s="538" t="s">
        <v>2149</v>
      </c>
      <c r="D324" s="524" t="s">
        <v>2725</v>
      </c>
      <c r="E324" s="563" t="s">
        <v>2136</v>
      </c>
      <c r="F324" s="538" t="s">
        <v>2137</v>
      </c>
      <c r="G324" s="538" t="s">
        <v>2354</v>
      </c>
      <c r="H324" s="544" t="s">
        <v>3081</v>
      </c>
      <c r="I324" s="527" t="s">
        <v>33</v>
      </c>
      <c r="J324" s="544" t="s">
        <v>2148</v>
      </c>
      <c r="K324" s="583">
        <v>46427</v>
      </c>
      <c r="L324" s="967">
        <v>46267</v>
      </c>
      <c r="M324" s="902" t="s">
        <v>52</v>
      </c>
      <c r="N324" s="566" t="s">
        <v>2406</v>
      </c>
      <c r="O324" s="445"/>
      <c r="P324" s="445"/>
    </row>
    <row r="325" spans="1:16" s="32" customFormat="1" ht="48" x14ac:dyDescent="0.2">
      <c r="A325" s="3">
        <v>5719</v>
      </c>
      <c r="B325" s="246">
        <v>45040</v>
      </c>
      <c r="C325" s="538" t="s">
        <v>2140</v>
      </c>
      <c r="D325" s="524" t="s">
        <v>2730</v>
      </c>
      <c r="E325" s="563" t="s">
        <v>2141</v>
      </c>
      <c r="F325" s="538" t="s">
        <v>2142</v>
      </c>
      <c r="G325" s="538" t="s">
        <v>84</v>
      </c>
      <c r="H325" s="544" t="s">
        <v>2287</v>
      </c>
      <c r="I325" s="527" t="s">
        <v>33</v>
      </c>
      <c r="J325" s="544" t="s">
        <v>678</v>
      </c>
      <c r="K325" s="601">
        <v>46338</v>
      </c>
      <c r="L325" s="545" t="s">
        <v>3073</v>
      </c>
      <c r="M325" s="544" t="s">
        <v>26</v>
      </c>
      <c r="N325" s="566">
        <v>200</v>
      </c>
      <c r="O325" s="445">
        <v>200</v>
      </c>
      <c r="P325" s="445"/>
    </row>
    <row r="326" spans="1:16" s="32" customFormat="1" ht="94.5" customHeight="1" x14ac:dyDescent="0.2">
      <c r="A326" s="3">
        <v>5720</v>
      </c>
      <c r="B326" s="246">
        <v>45078</v>
      </c>
      <c r="C326" s="538" t="s">
        <v>2169</v>
      </c>
      <c r="D326" s="524" t="s">
        <v>2727</v>
      </c>
      <c r="E326" s="563" t="s">
        <v>2145</v>
      </c>
      <c r="F326" s="538" t="s">
        <v>2146</v>
      </c>
      <c r="G326" s="538" t="s">
        <v>2323</v>
      </c>
      <c r="H326" s="544" t="s">
        <v>3178</v>
      </c>
      <c r="I326" s="527" t="s">
        <v>1745</v>
      </c>
      <c r="J326" s="544" t="s">
        <v>678</v>
      </c>
      <c r="K326" s="601">
        <v>46477</v>
      </c>
      <c r="L326" s="545" t="s">
        <v>3009</v>
      </c>
      <c r="M326" s="544" t="s">
        <v>52</v>
      </c>
      <c r="N326" s="566"/>
      <c r="O326" s="445"/>
      <c r="P326" s="445"/>
    </row>
    <row r="327" spans="1:16" s="520" customFormat="1" ht="170.25" customHeight="1" x14ac:dyDescent="0.2">
      <c r="A327" s="535">
        <v>5721</v>
      </c>
      <c r="B327" s="815">
        <v>45170</v>
      </c>
      <c r="C327" s="562" t="s">
        <v>2186</v>
      </c>
      <c r="D327" s="524" t="s">
        <v>2730</v>
      </c>
      <c r="E327" s="563" t="s">
        <v>2159</v>
      </c>
      <c r="F327" s="538" t="s">
        <v>2160</v>
      </c>
      <c r="G327" s="538" t="s">
        <v>38</v>
      </c>
      <c r="H327" s="544" t="s">
        <v>3087</v>
      </c>
      <c r="I327" s="527" t="s">
        <v>33</v>
      </c>
      <c r="J327" s="544" t="s">
        <v>678</v>
      </c>
      <c r="K327" s="601">
        <v>46218</v>
      </c>
      <c r="L327" s="545" t="s">
        <v>3137</v>
      </c>
      <c r="M327" s="544" t="s">
        <v>47</v>
      </c>
      <c r="N327" s="566"/>
      <c r="O327" s="566"/>
      <c r="P327" s="566"/>
    </row>
    <row r="328" spans="1:16" s="32" customFormat="1" ht="126" customHeight="1" x14ac:dyDescent="0.2">
      <c r="A328" s="207">
        <v>5722</v>
      </c>
      <c r="B328" s="366" t="s">
        <v>575</v>
      </c>
      <c r="C328" s="242" t="s">
        <v>2313</v>
      </c>
      <c r="D328" s="208" t="s">
        <v>2725</v>
      </c>
      <c r="E328" s="209" t="s">
        <v>2161</v>
      </c>
      <c r="F328" s="210" t="s">
        <v>2162</v>
      </c>
      <c r="G328" s="210" t="s">
        <v>2951</v>
      </c>
      <c r="H328" s="281"/>
      <c r="I328" s="211" t="s">
        <v>39</v>
      </c>
      <c r="J328" s="718" t="s">
        <v>678</v>
      </c>
      <c r="K328" s="720">
        <v>46532</v>
      </c>
      <c r="L328" s="413" t="s">
        <v>3065</v>
      </c>
      <c r="M328" s="281" t="s">
        <v>47</v>
      </c>
      <c r="N328" s="452"/>
      <c r="O328" s="452"/>
      <c r="P328" s="452"/>
    </row>
    <row r="329" spans="1:16" s="32" customFormat="1" ht="60" customHeight="1" x14ac:dyDescent="0.2">
      <c r="A329" s="3">
        <v>5723</v>
      </c>
      <c r="B329" s="246">
        <v>45413</v>
      </c>
      <c r="C329" s="11" t="s">
        <v>2355</v>
      </c>
      <c r="D329" s="10" t="s">
        <v>2726</v>
      </c>
      <c r="E329" s="4" t="s">
        <v>2165</v>
      </c>
      <c r="F329" s="11" t="s">
        <v>1390</v>
      </c>
      <c r="G329" s="11" t="s">
        <v>139</v>
      </c>
      <c r="H329" s="20" t="s">
        <v>2907</v>
      </c>
      <c r="I329" s="17" t="s">
        <v>33</v>
      </c>
      <c r="J329" s="20" t="s">
        <v>678</v>
      </c>
      <c r="K329" s="576">
        <v>46492</v>
      </c>
      <c r="L329" s="410" t="s">
        <v>3029</v>
      </c>
      <c r="M329" s="20" t="s">
        <v>47</v>
      </c>
      <c r="N329" s="445">
        <v>200</v>
      </c>
      <c r="O329" s="445">
        <v>200</v>
      </c>
      <c r="P329" s="445"/>
    </row>
    <row r="330" spans="1:16" s="17" customFormat="1" ht="39.75" customHeight="1" x14ac:dyDescent="0.25">
      <c r="A330" s="2" t="s">
        <v>2187</v>
      </c>
      <c r="B330" s="246">
        <v>45139</v>
      </c>
      <c r="C330" s="11" t="s">
        <v>2166</v>
      </c>
      <c r="D330" s="10" t="s">
        <v>2725</v>
      </c>
      <c r="E330" s="4" t="s">
        <v>2167</v>
      </c>
      <c r="F330" s="11" t="s">
        <v>2168</v>
      </c>
      <c r="G330" s="11" t="s">
        <v>84</v>
      </c>
      <c r="H330" s="20" t="s">
        <v>2288</v>
      </c>
      <c r="I330" s="17" t="s">
        <v>33</v>
      </c>
      <c r="J330" s="20" t="s">
        <v>429</v>
      </c>
      <c r="K330" s="576">
        <v>46447</v>
      </c>
      <c r="L330" s="410"/>
      <c r="M330" s="20"/>
      <c r="N330" s="445">
        <v>100</v>
      </c>
      <c r="O330" s="445">
        <v>100</v>
      </c>
      <c r="P330" s="445"/>
    </row>
    <row r="331" spans="1:16" s="32" customFormat="1" ht="81" customHeight="1" x14ac:dyDescent="0.2">
      <c r="A331" s="2">
        <v>5725</v>
      </c>
      <c r="B331" s="246">
        <v>45231</v>
      </c>
      <c r="C331" s="11" t="s">
        <v>2232</v>
      </c>
      <c r="D331" s="10" t="s">
        <v>2727</v>
      </c>
      <c r="E331" s="4" t="s">
        <v>2200</v>
      </c>
      <c r="F331" s="11" t="s">
        <v>160</v>
      </c>
      <c r="G331" s="11" t="s">
        <v>2568</v>
      </c>
      <c r="H331" s="20" t="s">
        <v>2289</v>
      </c>
      <c r="I331" s="17" t="s">
        <v>2201</v>
      </c>
      <c r="J331" s="20" t="s">
        <v>678</v>
      </c>
      <c r="K331" s="583">
        <v>46311</v>
      </c>
      <c r="L331" s="410">
        <v>45946</v>
      </c>
      <c r="M331" s="20" t="s">
        <v>47</v>
      </c>
      <c r="N331" s="445"/>
      <c r="O331" s="445"/>
      <c r="P331" s="445"/>
    </row>
    <row r="332" spans="1:16" s="32" customFormat="1" ht="60" customHeight="1" x14ac:dyDescent="0.2">
      <c r="A332" s="2">
        <v>5726</v>
      </c>
      <c r="B332" s="246">
        <v>45231</v>
      </c>
      <c r="C332" s="11" t="s">
        <v>2208</v>
      </c>
      <c r="D332" s="10" t="s">
        <v>2727</v>
      </c>
      <c r="E332" s="4" t="s">
        <v>2209</v>
      </c>
      <c r="F332" s="11" t="s">
        <v>719</v>
      </c>
      <c r="G332" s="11" t="s">
        <v>2568</v>
      </c>
      <c r="H332" s="20" t="s">
        <v>2289</v>
      </c>
      <c r="I332" s="17" t="s">
        <v>2210</v>
      </c>
      <c r="J332" s="20" t="s">
        <v>678</v>
      </c>
      <c r="K332" s="583">
        <v>46311</v>
      </c>
      <c r="L332" s="633">
        <v>45946</v>
      </c>
      <c r="M332" s="20" t="s">
        <v>47</v>
      </c>
      <c r="N332" s="445"/>
      <c r="O332" s="445"/>
      <c r="P332" s="445"/>
    </row>
    <row r="333" spans="1:16" s="32" customFormat="1" ht="85.5" customHeight="1" x14ac:dyDescent="0.2">
      <c r="A333" s="2">
        <v>5730</v>
      </c>
      <c r="B333" s="246">
        <v>45197</v>
      </c>
      <c r="C333" s="11" t="s">
        <v>2202</v>
      </c>
      <c r="D333" s="10" t="s">
        <v>2725</v>
      </c>
      <c r="E333" s="4" t="s">
        <v>2203</v>
      </c>
      <c r="F333" s="11" t="s">
        <v>2204</v>
      </c>
      <c r="G333" s="11" t="s">
        <v>189</v>
      </c>
      <c r="H333" s="528" t="s">
        <v>3143</v>
      </c>
      <c r="I333" s="17" t="s">
        <v>2205</v>
      </c>
      <c r="J333" s="528" t="s">
        <v>678</v>
      </c>
      <c r="K333" s="580">
        <v>46504</v>
      </c>
      <c r="L333" s="410"/>
      <c r="M333" s="20"/>
      <c r="N333" s="445"/>
      <c r="O333" s="445"/>
      <c r="P333" s="445"/>
    </row>
    <row r="334" spans="1:16" s="32" customFormat="1" ht="60" customHeight="1" x14ac:dyDescent="0.2">
      <c r="A334" s="2">
        <v>5731</v>
      </c>
      <c r="B334" s="246">
        <v>45231</v>
      </c>
      <c r="C334" s="11" t="s">
        <v>2214</v>
      </c>
      <c r="D334" s="10" t="s">
        <v>2730</v>
      </c>
      <c r="E334" s="4" t="s">
        <v>2212</v>
      </c>
      <c r="F334" s="11" t="s">
        <v>1263</v>
      </c>
      <c r="G334" s="11" t="s">
        <v>2118</v>
      </c>
      <c r="H334" s="20" t="s">
        <v>2392</v>
      </c>
      <c r="I334" s="17" t="s">
        <v>2213</v>
      </c>
      <c r="J334" s="20" t="s">
        <v>678</v>
      </c>
      <c r="K334" s="583">
        <v>46320</v>
      </c>
      <c r="L334" s="410" t="s">
        <v>2811</v>
      </c>
      <c r="M334" s="20" t="s">
        <v>26</v>
      </c>
      <c r="N334" s="445"/>
      <c r="O334" s="445"/>
      <c r="P334" s="445"/>
    </row>
    <row r="335" spans="1:16" s="32" customFormat="1" ht="48" x14ac:dyDescent="0.2">
      <c r="A335" s="2">
        <v>5732</v>
      </c>
      <c r="B335" s="246">
        <v>45261</v>
      </c>
      <c r="C335" s="11" t="s">
        <v>2215</v>
      </c>
      <c r="D335" s="10" t="s">
        <v>2743</v>
      </c>
      <c r="E335" s="4" t="s">
        <v>2216</v>
      </c>
      <c r="F335" s="11" t="s">
        <v>350</v>
      </c>
      <c r="G335" s="11" t="s">
        <v>50</v>
      </c>
      <c r="H335" s="20"/>
      <c r="I335" s="17" t="s">
        <v>2213</v>
      </c>
      <c r="J335" s="20" t="s">
        <v>678</v>
      </c>
      <c r="K335" s="583">
        <v>46342</v>
      </c>
      <c r="L335" s="410" t="s">
        <v>2812</v>
      </c>
      <c r="M335" s="20" t="s">
        <v>26</v>
      </c>
      <c r="N335" s="445"/>
      <c r="O335" s="445"/>
      <c r="P335" s="445"/>
    </row>
    <row r="336" spans="1:16" s="32" customFormat="1" ht="60" customHeight="1" x14ac:dyDescent="0.2">
      <c r="A336" s="2">
        <v>5733</v>
      </c>
      <c r="B336" s="246" t="s">
        <v>28</v>
      </c>
      <c r="C336" s="11" t="s">
        <v>2293</v>
      </c>
      <c r="D336" s="10" t="s">
        <v>2731</v>
      </c>
      <c r="E336" s="4" t="s">
        <v>28</v>
      </c>
      <c r="F336" s="11" t="s">
        <v>28</v>
      </c>
      <c r="G336" s="11" t="s">
        <v>2229</v>
      </c>
      <c r="H336" s="20"/>
      <c r="I336" s="17" t="s">
        <v>2294</v>
      </c>
      <c r="J336" s="20" t="s">
        <v>2498</v>
      </c>
      <c r="K336" s="583" t="s">
        <v>1001</v>
      </c>
      <c r="L336" s="410"/>
      <c r="M336" s="20"/>
      <c r="N336" s="445"/>
      <c r="O336" s="445"/>
      <c r="P336" s="445"/>
    </row>
    <row r="337" spans="1:16" s="32" customFormat="1" ht="96" x14ac:dyDescent="0.2">
      <c r="A337" s="2">
        <v>5734</v>
      </c>
      <c r="B337" s="246">
        <v>45323</v>
      </c>
      <c r="C337" s="11" t="s">
        <v>2314</v>
      </c>
      <c r="D337" s="10" t="s">
        <v>2727</v>
      </c>
      <c r="E337" s="4" t="s">
        <v>2217</v>
      </c>
      <c r="F337" s="11" t="s">
        <v>2218</v>
      </c>
      <c r="G337" s="921" t="s">
        <v>3158</v>
      </c>
      <c r="H337" s="20" t="s">
        <v>2497</v>
      </c>
      <c r="I337" s="17" t="s">
        <v>2219</v>
      </c>
      <c r="J337" s="20" t="s">
        <v>678</v>
      </c>
      <c r="K337" s="583">
        <v>46418</v>
      </c>
      <c r="L337" s="410" t="s">
        <v>2857</v>
      </c>
      <c r="M337" s="20" t="s">
        <v>26</v>
      </c>
      <c r="N337" s="445"/>
      <c r="O337" s="445"/>
      <c r="P337" s="445"/>
    </row>
    <row r="338" spans="1:16" s="32" customFormat="1" ht="100.5" customHeight="1" x14ac:dyDescent="0.2">
      <c r="A338" s="2">
        <v>5735</v>
      </c>
      <c r="B338" s="246">
        <v>45292</v>
      </c>
      <c r="C338" s="11" t="s">
        <v>2222</v>
      </c>
      <c r="D338" s="10" t="s">
        <v>2725</v>
      </c>
      <c r="E338" s="4" t="s">
        <v>2223</v>
      </c>
      <c r="F338" s="11" t="s">
        <v>2224</v>
      </c>
      <c r="G338" s="538" t="s">
        <v>3036</v>
      </c>
      <c r="H338" s="20" t="s">
        <v>2851</v>
      </c>
      <c r="I338" s="17" t="s">
        <v>2219</v>
      </c>
      <c r="J338" s="20" t="s">
        <v>678</v>
      </c>
      <c r="K338" s="576">
        <v>46459</v>
      </c>
      <c r="L338" s="410" t="s">
        <v>3008</v>
      </c>
      <c r="M338" s="20" t="s">
        <v>52</v>
      </c>
      <c r="N338" s="445" t="s">
        <v>28</v>
      </c>
      <c r="O338" s="445" t="s">
        <v>28</v>
      </c>
      <c r="P338" s="445" t="s">
        <v>2855</v>
      </c>
    </row>
    <row r="339" spans="1:16" s="32" customFormat="1" ht="48" x14ac:dyDescent="0.2">
      <c r="A339" s="2">
        <v>5736</v>
      </c>
      <c r="B339" s="246">
        <v>45292</v>
      </c>
      <c r="C339" s="11" t="s">
        <v>2225</v>
      </c>
      <c r="D339" s="10" t="s">
        <v>2725</v>
      </c>
      <c r="E339" s="4" t="s">
        <v>2226</v>
      </c>
      <c r="F339" s="11" t="s">
        <v>2227</v>
      </c>
      <c r="G339" s="11" t="s">
        <v>189</v>
      </c>
      <c r="H339" s="20" t="s">
        <v>2561</v>
      </c>
      <c r="I339" s="17" t="s">
        <v>2205</v>
      </c>
      <c r="J339" s="20" t="s">
        <v>2158</v>
      </c>
      <c r="K339" s="576">
        <v>46400</v>
      </c>
      <c r="L339" s="410" t="s">
        <v>2912</v>
      </c>
      <c r="M339" s="20" t="s">
        <v>52</v>
      </c>
      <c r="N339" s="445"/>
      <c r="O339" s="445"/>
      <c r="P339" s="445"/>
    </row>
    <row r="340" spans="1:16" s="32" customFormat="1" ht="60" x14ac:dyDescent="0.2">
      <c r="A340" s="2">
        <v>5737</v>
      </c>
      <c r="B340" s="246">
        <v>45323</v>
      </c>
      <c r="C340" s="11" t="s">
        <v>2555</v>
      </c>
      <c r="D340" s="10" t="s">
        <v>2726</v>
      </c>
      <c r="E340" s="4" t="s">
        <v>2230</v>
      </c>
      <c r="F340" s="11" t="s">
        <v>2556</v>
      </c>
      <c r="G340" s="11" t="s">
        <v>44</v>
      </c>
      <c r="H340" s="20" t="s">
        <v>2823</v>
      </c>
      <c r="I340" s="17" t="s">
        <v>2231</v>
      </c>
      <c r="J340" s="20" t="s">
        <v>678</v>
      </c>
      <c r="K340" s="576">
        <v>46477</v>
      </c>
      <c r="L340" s="410">
        <v>45717</v>
      </c>
      <c r="M340" s="20" t="s">
        <v>47</v>
      </c>
      <c r="N340" s="445"/>
      <c r="O340" s="445"/>
      <c r="P340" s="445"/>
    </row>
    <row r="341" spans="1:16" s="32" customFormat="1" ht="84" x14ac:dyDescent="0.2">
      <c r="A341" s="242">
        <v>5739</v>
      </c>
      <c r="B341" s="366">
        <v>45383</v>
      </c>
      <c r="C341" s="485" t="s">
        <v>2292</v>
      </c>
      <c r="D341" s="483" t="s">
        <v>2726</v>
      </c>
      <c r="E341" s="484" t="s">
        <v>2254</v>
      </c>
      <c r="F341" s="485" t="s">
        <v>2255</v>
      </c>
      <c r="G341" s="485" t="s">
        <v>144</v>
      </c>
      <c r="H341" s="718" t="s">
        <v>2329</v>
      </c>
      <c r="I341" s="719" t="s">
        <v>2219</v>
      </c>
      <c r="J341" s="718" t="s">
        <v>678</v>
      </c>
      <c r="K341" s="720">
        <v>46467</v>
      </c>
      <c r="L341" s="721" t="s">
        <v>3012</v>
      </c>
      <c r="M341" s="718" t="s">
        <v>26</v>
      </c>
      <c r="N341" s="733"/>
      <c r="O341" s="452"/>
      <c r="P341" s="452"/>
    </row>
    <row r="342" spans="1:16" s="32" customFormat="1" ht="48" x14ac:dyDescent="0.2">
      <c r="A342" s="2">
        <v>5741</v>
      </c>
      <c r="B342" s="246">
        <v>45352</v>
      </c>
      <c r="C342" s="538" t="s">
        <v>2295</v>
      </c>
      <c r="D342" s="524" t="s">
        <v>2753</v>
      </c>
      <c r="E342" s="563" t="s">
        <v>2296</v>
      </c>
      <c r="F342" s="538" t="s">
        <v>159</v>
      </c>
      <c r="G342" s="538" t="s">
        <v>2444</v>
      </c>
      <c r="H342" s="544"/>
      <c r="I342" s="527" t="s">
        <v>2297</v>
      </c>
      <c r="J342" s="544" t="s">
        <v>678</v>
      </c>
      <c r="K342" s="583">
        <v>46508</v>
      </c>
      <c r="L342" s="545" t="s">
        <v>3055</v>
      </c>
      <c r="M342" s="544" t="s">
        <v>26</v>
      </c>
      <c r="N342" s="566"/>
      <c r="O342" s="445"/>
      <c r="P342" s="445"/>
    </row>
    <row r="343" spans="1:16" s="32" customFormat="1" ht="96" x14ac:dyDescent="0.2">
      <c r="A343" s="2">
        <v>5742</v>
      </c>
      <c r="B343" s="246">
        <v>45383</v>
      </c>
      <c r="C343" s="538" t="s">
        <v>2345</v>
      </c>
      <c r="D343" s="524" t="s">
        <v>2731</v>
      </c>
      <c r="E343" s="563" t="s">
        <v>2299</v>
      </c>
      <c r="F343" s="538" t="s">
        <v>2346</v>
      </c>
      <c r="G343" s="11" t="s">
        <v>2229</v>
      </c>
      <c r="H343" s="544" t="s">
        <v>2500</v>
      </c>
      <c r="I343" s="527" t="s">
        <v>2219</v>
      </c>
      <c r="J343" s="544" t="s">
        <v>429</v>
      </c>
      <c r="K343" s="601">
        <v>46478</v>
      </c>
      <c r="L343" s="545" t="s">
        <v>3025</v>
      </c>
      <c r="M343" s="544" t="s">
        <v>52</v>
      </c>
      <c r="N343" s="566">
        <v>150</v>
      </c>
      <c r="O343" s="445">
        <v>150</v>
      </c>
      <c r="P343" s="445"/>
    </row>
    <row r="344" spans="1:16" s="32" customFormat="1" ht="48" x14ac:dyDescent="0.2">
      <c r="A344" s="2">
        <v>5744</v>
      </c>
      <c r="B344" s="246">
        <v>45444</v>
      </c>
      <c r="C344" s="538" t="s">
        <v>2380</v>
      </c>
      <c r="D344" s="524" t="s">
        <v>2727</v>
      </c>
      <c r="E344" s="563" t="s">
        <v>2338</v>
      </c>
      <c r="F344" s="538" t="s">
        <v>2339</v>
      </c>
      <c r="G344" s="538" t="s">
        <v>2501</v>
      </c>
      <c r="H344" s="544"/>
      <c r="I344" s="527" t="s">
        <v>2213</v>
      </c>
      <c r="J344" s="544" t="s">
        <v>678</v>
      </c>
      <c r="K344" s="601">
        <v>46534</v>
      </c>
      <c r="L344" s="545" t="s">
        <v>3076</v>
      </c>
      <c r="M344" s="544" t="s">
        <v>26</v>
      </c>
      <c r="N344" s="566"/>
      <c r="O344" s="445"/>
      <c r="P344" s="445"/>
    </row>
    <row r="345" spans="1:16" s="32" customFormat="1" ht="60" x14ac:dyDescent="0.2">
      <c r="A345" s="2">
        <v>5745</v>
      </c>
      <c r="B345" s="246">
        <v>45413</v>
      </c>
      <c r="C345" s="538" t="s">
        <v>2325</v>
      </c>
      <c r="D345" s="524" t="s">
        <v>2727</v>
      </c>
      <c r="E345" s="563" t="s">
        <v>2324</v>
      </c>
      <c r="F345" s="538" t="s">
        <v>399</v>
      </c>
      <c r="G345" s="538" t="s">
        <v>2322</v>
      </c>
      <c r="H345" s="544" t="s">
        <v>2930</v>
      </c>
      <c r="I345" s="527" t="s">
        <v>2213</v>
      </c>
      <c r="J345" s="544" t="s">
        <v>678</v>
      </c>
      <c r="K345" s="601">
        <v>46204</v>
      </c>
      <c r="L345" s="545" t="s">
        <v>3132</v>
      </c>
      <c r="M345" s="544" t="s">
        <v>26</v>
      </c>
      <c r="N345" s="566"/>
      <c r="O345" s="445"/>
      <c r="P345" s="445"/>
    </row>
    <row r="346" spans="1:16" s="32" customFormat="1" ht="48" x14ac:dyDescent="0.2">
      <c r="A346" s="2">
        <v>5746</v>
      </c>
      <c r="B346" s="246">
        <v>45413</v>
      </c>
      <c r="C346" s="538" t="s">
        <v>2326</v>
      </c>
      <c r="D346" s="524" t="s">
        <v>2725</v>
      </c>
      <c r="E346" s="563" t="s">
        <v>2327</v>
      </c>
      <c r="F346" s="538" t="s">
        <v>1651</v>
      </c>
      <c r="G346" s="538" t="s">
        <v>2118</v>
      </c>
      <c r="H346" s="544" t="s">
        <v>2691</v>
      </c>
      <c r="I346" s="527" t="s">
        <v>2213</v>
      </c>
      <c r="J346" s="544" t="s">
        <v>429</v>
      </c>
      <c r="K346" s="601">
        <v>46254</v>
      </c>
      <c r="L346" s="410" t="s">
        <v>3183</v>
      </c>
      <c r="M346" s="20" t="s">
        <v>26</v>
      </c>
      <c r="N346" s="566"/>
      <c r="O346" s="445"/>
      <c r="P346" s="445"/>
    </row>
    <row r="347" spans="1:16" s="32" customFormat="1" ht="36" x14ac:dyDescent="0.2">
      <c r="A347" s="2">
        <v>5747</v>
      </c>
      <c r="B347" s="246">
        <v>45505</v>
      </c>
      <c r="C347" s="562" t="s">
        <v>2364</v>
      </c>
      <c r="D347" s="524" t="s">
        <v>2753</v>
      </c>
      <c r="E347" s="563" t="s">
        <v>2335</v>
      </c>
      <c r="F347" s="538" t="s">
        <v>194</v>
      </c>
      <c r="G347" s="538" t="s">
        <v>2229</v>
      </c>
      <c r="H347" s="544"/>
      <c r="I347" s="527" t="s">
        <v>2336</v>
      </c>
      <c r="J347" s="544" t="s">
        <v>678</v>
      </c>
      <c r="K347" s="601">
        <v>46226</v>
      </c>
      <c r="L347" s="545" t="s">
        <v>3170</v>
      </c>
      <c r="M347" s="544" t="s">
        <v>26</v>
      </c>
      <c r="N347" s="566"/>
      <c r="O347" s="445"/>
      <c r="P347" s="445"/>
    </row>
    <row r="348" spans="1:16" s="32" customFormat="1" ht="108" x14ac:dyDescent="0.2">
      <c r="A348" s="2">
        <v>5748</v>
      </c>
      <c r="B348" s="246">
        <v>45413</v>
      </c>
      <c r="C348" s="538" t="s">
        <v>2331</v>
      </c>
      <c r="D348" s="524" t="s">
        <v>2728</v>
      </c>
      <c r="E348" s="563" t="s">
        <v>2332</v>
      </c>
      <c r="F348" s="538" t="s">
        <v>2333</v>
      </c>
      <c r="G348" s="538" t="s">
        <v>50</v>
      </c>
      <c r="H348" s="544"/>
      <c r="I348" s="527" t="s">
        <v>2334</v>
      </c>
      <c r="J348" s="544" t="s">
        <v>678</v>
      </c>
      <c r="K348" s="734" t="s">
        <v>3086</v>
      </c>
      <c r="L348" s="410" t="s">
        <v>3133</v>
      </c>
      <c r="M348" s="544" t="s">
        <v>47</v>
      </c>
      <c r="N348" s="566"/>
      <c r="O348" s="445"/>
      <c r="P348" s="445"/>
    </row>
    <row r="349" spans="1:16" s="571" customFormat="1" ht="144" x14ac:dyDescent="0.25">
      <c r="A349" s="607" t="s">
        <v>2967</v>
      </c>
      <c r="B349" s="611">
        <v>45474</v>
      </c>
      <c r="C349" s="607" t="s">
        <v>2966</v>
      </c>
      <c r="D349" s="617" t="s">
        <v>2727</v>
      </c>
      <c r="E349" s="619" t="s">
        <v>2340</v>
      </c>
      <c r="F349" s="617" t="s">
        <v>160</v>
      </c>
      <c r="G349" s="617" t="s">
        <v>2926</v>
      </c>
      <c r="H349" s="623"/>
      <c r="I349" s="625" t="s">
        <v>2213</v>
      </c>
      <c r="J349" s="623" t="s">
        <v>678</v>
      </c>
      <c r="K349" s="848">
        <v>46548</v>
      </c>
      <c r="L349" s="623" t="s">
        <v>3090</v>
      </c>
      <c r="M349" s="544" t="s">
        <v>26</v>
      </c>
      <c r="N349" s="623"/>
      <c r="O349" s="623"/>
      <c r="P349" s="623"/>
    </row>
    <row r="350" spans="1:16" s="32" customFormat="1" ht="132" x14ac:dyDescent="0.2">
      <c r="A350" s="285">
        <v>5750</v>
      </c>
      <c r="B350" s="375">
        <v>45505</v>
      </c>
      <c r="C350" s="735" t="s">
        <v>2400</v>
      </c>
      <c r="D350" s="729" t="s">
        <v>2726</v>
      </c>
      <c r="E350" s="730" t="s">
        <v>2342</v>
      </c>
      <c r="F350" s="735" t="s">
        <v>2343</v>
      </c>
      <c r="G350" s="735" t="s">
        <v>202</v>
      </c>
      <c r="H350" s="935" t="s">
        <v>3223</v>
      </c>
      <c r="I350" s="732" t="s">
        <v>691</v>
      </c>
      <c r="J350" s="731" t="s">
        <v>678</v>
      </c>
      <c r="K350" s="593">
        <v>46218</v>
      </c>
      <c r="L350" s="736">
        <v>45853</v>
      </c>
      <c r="M350" s="731" t="s">
        <v>2619</v>
      </c>
      <c r="N350" s="737"/>
      <c r="O350" s="387"/>
      <c r="P350" s="387"/>
    </row>
    <row r="351" spans="1:16" s="32" customFormat="1" ht="54.75" customHeight="1" x14ac:dyDescent="0.2">
      <c r="A351" s="2">
        <v>5751</v>
      </c>
      <c r="B351" s="246">
        <v>45444</v>
      </c>
      <c r="C351" s="11" t="s">
        <v>2348</v>
      </c>
      <c r="D351" s="10" t="s">
        <v>2727</v>
      </c>
      <c r="E351" s="4" t="s">
        <v>2349</v>
      </c>
      <c r="F351" s="11" t="s">
        <v>104</v>
      </c>
      <c r="G351" s="544" t="s">
        <v>3198</v>
      </c>
      <c r="H351" s="20"/>
      <c r="I351" s="17" t="s">
        <v>2213</v>
      </c>
      <c r="J351" s="20" t="s">
        <v>678</v>
      </c>
      <c r="K351" s="583">
        <v>46427</v>
      </c>
      <c r="L351" s="410" t="s">
        <v>2933</v>
      </c>
      <c r="M351" s="20" t="s">
        <v>47</v>
      </c>
      <c r="N351" s="445"/>
      <c r="O351" s="445"/>
      <c r="P351" s="445"/>
    </row>
    <row r="352" spans="1:16" s="32" customFormat="1" ht="48" x14ac:dyDescent="0.2">
      <c r="A352" s="2">
        <v>5752</v>
      </c>
      <c r="B352" s="246">
        <v>45413</v>
      </c>
      <c r="C352" s="11" t="s">
        <v>2359</v>
      </c>
      <c r="D352" s="10" t="s">
        <v>2737</v>
      </c>
      <c r="E352" s="4" t="s">
        <v>2360</v>
      </c>
      <c r="F352" s="11" t="s">
        <v>92</v>
      </c>
      <c r="G352" s="11" t="s">
        <v>18</v>
      </c>
      <c r="H352" s="20"/>
      <c r="I352" s="17" t="s">
        <v>2362</v>
      </c>
      <c r="J352" s="20" t="s">
        <v>2985</v>
      </c>
      <c r="K352" s="583">
        <v>46387</v>
      </c>
      <c r="L352" s="410" t="s">
        <v>2857</v>
      </c>
      <c r="M352" s="20" t="s">
        <v>52</v>
      </c>
      <c r="N352" s="445"/>
      <c r="O352" s="445"/>
      <c r="P352" s="445"/>
    </row>
    <row r="353" spans="1:16" s="32" customFormat="1" ht="61.5" customHeight="1" x14ac:dyDescent="0.2">
      <c r="A353" s="2">
        <v>5753</v>
      </c>
      <c r="B353" s="246">
        <v>45658</v>
      </c>
      <c r="C353" s="11" t="s">
        <v>2369</v>
      </c>
      <c r="D353" s="10" t="s">
        <v>2730</v>
      </c>
      <c r="E353" s="4" t="s">
        <v>2370</v>
      </c>
      <c r="F353" s="11" t="s">
        <v>2371</v>
      </c>
      <c r="G353" s="11" t="s">
        <v>2501</v>
      </c>
      <c r="H353" s="20"/>
      <c r="I353" s="17" t="s">
        <v>2372</v>
      </c>
      <c r="J353" s="20" t="s">
        <v>2158</v>
      </c>
      <c r="K353" s="591" t="s">
        <v>3069</v>
      </c>
      <c r="L353" s="410" t="s">
        <v>3105</v>
      </c>
      <c r="M353" s="20" t="s">
        <v>47</v>
      </c>
      <c r="N353" s="445"/>
      <c r="O353" s="445"/>
      <c r="P353" s="445"/>
    </row>
    <row r="354" spans="1:16" s="32" customFormat="1" ht="48" x14ac:dyDescent="0.2">
      <c r="A354" s="2">
        <v>5754</v>
      </c>
      <c r="B354" s="246">
        <v>45536</v>
      </c>
      <c r="C354" s="11" t="s">
        <v>2366</v>
      </c>
      <c r="D354" s="10" t="s">
        <v>2732</v>
      </c>
      <c r="E354" s="4" t="s">
        <v>2365</v>
      </c>
      <c r="F354" s="11" t="s">
        <v>259</v>
      </c>
      <c r="G354" s="11" t="s">
        <v>50</v>
      </c>
      <c r="H354" s="20"/>
      <c r="I354" s="17" t="s">
        <v>2213</v>
      </c>
      <c r="J354" s="20" t="s">
        <v>2480</v>
      </c>
      <c r="K354" s="583">
        <v>46240</v>
      </c>
      <c r="L354" s="545" t="s">
        <v>3173</v>
      </c>
      <c r="M354" s="544" t="s">
        <v>26</v>
      </c>
      <c r="N354" s="445"/>
      <c r="O354" s="445"/>
      <c r="P354" s="445"/>
    </row>
    <row r="355" spans="1:16" s="32" customFormat="1" ht="48" x14ac:dyDescent="0.2">
      <c r="A355" s="2">
        <v>5756</v>
      </c>
      <c r="B355" s="246">
        <v>45658</v>
      </c>
      <c r="C355" s="11" t="s">
        <v>2502</v>
      </c>
      <c r="D355" s="10" t="s">
        <v>2725</v>
      </c>
      <c r="E355" s="4" t="s">
        <v>2376</v>
      </c>
      <c r="F355" s="11" t="s">
        <v>2377</v>
      </c>
      <c r="G355" s="11" t="s">
        <v>2548</v>
      </c>
      <c r="H355" s="20"/>
      <c r="I355" s="17" t="s">
        <v>2374</v>
      </c>
      <c r="J355" s="20" t="s">
        <v>34</v>
      </c>
      <c r="K355" s="583">
        <v>46383</v>
      </c>
      <c r="L355" s="545" t="s">
        <v>3174</v>
      </c>
      <c r="M355" s="544" t="s">
        <v>26</v>
      </c>
      <c r="N355" s="445"/>
      <c r="O355" s="445"/>
      <c r="P355" s="445"/>
    </row>
    <row r="356" spans="1:16" s="32" customFormat="1" ht="60" x14ac:dyDescent="0.2">
      <c r="A356" s="2">
        <v>5757</v>
      </c>
      <c r="B356" s="246">
        <v>45505</v>
      </c>
      <c r="C356" s="11" t="s">
        <v>2395</v>
      </c>
      <c r="D356" s="10" t="s">
        <v>2759</v>
      </c>
      <c r="E356" s="4" t="s">
        <v>2386</v>
      </c>
      <c r="F356" s="11" t="s">
        <v>2382</v>
      </c>
      <c r="G356" s="11" t="s">
        <v>38</v>
      </c>
      <c r="H356" s="20" t="s">
        <v>2468</v>
      </c>
      <c r="I356" s="17" t="s">
        <v>2201</v>
      </c>
      <c r="J356" s="20" t="s">
        <v>678</v>
      </c>
      <c r="K356" s="912">
        <v>46569</v>
      </c>
      <c r="L356" s="545" t="s">
        <v>3132</v>
      </c>
      <c r="M356" s="544" t="s">
        <v>26</v>
      </c>
      <c r="N356" s="445"/>
      <c r="O356" s="445"/>
      <c r="P356" s="445"/>
    </row>
    <row r="357" spans="1:16" s="32" customFormat="1" ht="35.25" customHeight="1" x14ac:dyDescent="0.2">
      <c r="A357" s="2">
        <v>5759</v>
      </c>
      <c r="B357" s="246">
        <v>45597</v>
      </c>
      <c r="C357" s="11" t="s">
        <v>2394</v>
      </c>
      <c r="D357" s="10" t="s">
        <v>2759</v>
      </c>
      <c r="E357" s="4" t="s">
        <v>2390</v>
      </c>
      <c r="F357" s="11" t="s">
        <v>1456</v>
      </c>
      <c r="G357" s="11" t="s">
        <v>2229</v>
      </c>
      <c r="H357" s="20"/>
      <c r="I357" s="17" t="s">
        <v>2391</v>
      </c>
      <c r="J357" s="20" t="s">
        <v>678</v>
      </c>
      <c r="K357" s="583">
        <v>46214</v>
      </c>
      <c r="L357" s="410">
        <v>45849</v>
      </c>
      <c r="M357" s="20" t="s">
        <v>52</v>
      </c>
      <c r="N357" s="445"/>
      <c r="O357" s="445"/>
      <c r="P357" s="445"/>
    </row>
    <row r="358" spans="1:16" s="33" customFormat="1" ht="48" x14ac:dyDescent="0.2">
      <c r="A358" s="2">
        <v>5760</v>
      </c>
      <c r="B358" s="246">
        <v>45627</v>
      </c>
      <c r="C358" s="11" t="s">
        <v>2418</v>
      </c>
      <c r="D358" s="10" t="s">
        <v>2735</v>
      </c>
      <c r="E358" s="4" t="s">
        <v>2396</v>
      </c>
      <c r="F358" s="11" t="s">
        <v>1456</v>
      </c>
      <c r="G358" s="11" t="s">
        <v>2605</v>
      </c>
      <c r="H358" s="20"/>
      <c r="I358" s="17" t="s">
        <v>2336</v>
      </c>
      <c r="J358" s="20" t="s">
        <v>2158</v>
      </c>
      <c r="K358" s="583">
        <v>46351</v>
      </c>
      <c r="L358" s="410" t="s">
        <v>2845</v>
      </c>
      <c r="M358" s="20" t="s">
        <v>52</v>
      </c>
      <c r="N358" s="445"/>
      <c r="O358" s="445"/>
      <c r="P358" s="445"/>
    </row>
    <row r="359" spans="1:16" s="33" customFormat="1" ht="96" x14ac:dyDescent="0.2">
      <c r="A359" s="2">
        <v>5761</v>
      </c>
      <c r="B359" s="246">
        <v>45566</v>
      </c>
      <c r="C359" s="11" t="s">
        <v>2761</v>
      </c>
      <c r="D359" s="10" t="s">
        <v>2731</v>
      </c>
      <c r="E359" s="4" t="s">
        <v>2398</v>
      </c>
      <c r="F359" s="11" t="s">
        <v>2399</v>
      </c>
      <c r="G359" s="11" t="s">
        <v>38</v>
      </c>
      <c r="H359" s="20"/>
      <c r="I359" s="17" t="s">
        <v>2372</v>
      </c>
      <c r="J359" s="20" t="s">
        <v>2158</v>
      </c>
      <c r="K359" s="604" t="s">
        <v>2813</v>
      </c>
      <c r="L359" s="545" t="s">
        <v>3203</v>
      </c>
      <c r="M359" s="544" t="s">
        <v>52</v>
      </c>
      <c r="N359" s="445"/>
      <c r="O359" s="445"/>
      <c r="P359" s="445"/>
    </row>
    <row r="360" spans="1:16" s="32" customFormat="1" ht="48" x14ac:dyDescent="0.2">
      <c r="A360" s="285">
        <v>5762</v>
      </c>
      <c r="B360" s="375">
        <v>45505</v>
      </c>
      <c r="C360" s="287" t="s">
        <v>2557</v>
      </c>
      <c r="D360" s="398" t="s">
        <v>2726</v>
      </c>
      <c r="E360" s="286" t="s">
        <v>1001</v>
      </c>
      <c r="F360" s="287" t="s">
        <v>1001</v>
      </c>
      <c r="G360" s="287" t="s">
        <v>202</v>
      </c>
      <c r="H360" s="935" t="s">
        <v>3224</v>
      </c>
      <c r="I360" s="289" t="s">
        <v>118</v>
      </c>
      <c r="J360" s="288" t="s">
        <v>678</v>
      </c>
      <c r="K360" s="593">
        <v>46218</v>
      </c>
      <c r="L360" s="386">
        <v>45853</v>
      </c>
      <c r="M360" s="288" t="s">
        <v>2619</v>
      </c>
      <c r="N360" s="387"/>
      <c r="O360" s="387"/>
      <c r="P360" s="387"/>
    </row>
    <row r="361" spans="1:16" s="32" customFormat="1" ht="60" x14ac:dyDescent="0.2">
      <c r="A361" s="2">
        <v>5764</v>
      </c>
      <c r="B361" s="246">
        <v>45536</v>
      </c>
      <c r="C361" s="11" t="s">
        <v>2820</v>
      </c>
      <c r="D361" s="10" t="s">
        <v>2726</v>
      </c>
      <c r="E361" s="4" t="s">
        <v>2230</v>
      </c>
      <c r="F361" s="11" t="s">
        <v>2405</v>
      </c>
      <c r="G361" s="11" t="s">
        <v>44</v>
      </c>
      <c r="H361" s="20" t="s">
        <v>2823</v>
      </c>
      <c r="I361" s="17" t="s">
        <v>2231</v>
      </c>
      <c r="J361" s="20" t="s">
        <v>678</v>
      </c>
      <c r="K361" s="576">
        <v>46477</v>
      </c>
      <c r="L361" s="410"/>
      <c r="M361" s="20" t="s">
        <v>295</v>
      </c>
      <c r="N361" s="445"/>
      <c r="O361" s="445"/>
      <c r="P361" s="445"/>
    </row>
    <row r="362" spans="1:16" s="32" customFormat="1" ht="76.5" customHeight="1" x14ac:dyDescent="0.2">
      <c r="A362" s="2">
        <v>5765</v>
      </c>
      <c r="B362" s="246">
        <v>45566</v>
      </c>
      <c r="C362" s="11" t="s">
        <v>2410</v>
      </c>
      <c r="D362" s="10" t="s">
        <v>2727</v>
      </c>
      <c r="E362" s="4" t="s">
        <v>2411</v>
      </c>
      <c r="F362" s="11" t="s">
        <v>250</v>
      </c>
      <c r="G362" s="11" t="s">
        <v>2323</v>
      </c>
      <c r="H362" s="20" t="s">
        <v>2954</v>
      </c>
      <c r="I362" s="17" t="s">
        <v>2213</v>
      </c>
      <c r="J362" s="20" t="s">
        <v>678</v>
      </c>
      <c r="K362" s="576">
        <v>46445</v>
      </c>
      <c r="L362" s="410" t="s">
        <v>2950</v>
      </c>
      <c r="M362" s="20" t="s">
        <v>26</v>
      </c>
      <c r="N362" s="445"/>
      <c r="O362" s="445"/>
      <c r="P362" s="445"/>
    </row>
    <row r="363" spans="1:16" s="32" customFormat="1" ht="48" x14ac:dyDescent="0.2">
      <c r="A363" s="2">
        <v>5766</v>
      </c>
      <c r="B363" s="246">
        <v>45566</v>
      </c>
      <c r="C363" s="11" t="s">
        <v>2412</v>
      </c>
      <c r="D363" s="10" t="s">
        <v>2726</v>
      </c>
      <c r="E363" s="4" t="s">
        <v>2456</v>
      </c>
      <c r="F363" s="11" t="s">
        <v>288</v>
      </c>
      <c r="G363" s="11" t="s">
        <v>44</v>
      </c>
      <c r="H363" s="20" t="s">
        <v>2528</v>
      </c>
      <c r="I363" s="17" t="s">
        <v>2213</v>
      </c>
      <c r="J363" s="20" t="s">
        <v>678</v>
      </c>
      <c r="K363" s="583">
        <v>46356</v>
      </c>
      <c r="L363" s="410" t="s">
        <v>2814</v>
      </c>
      <c r="M363" s="20" t="s">
        <v>52</v>
      </c>
      <c r="N363" s="445"/>
      <c r="O363" s="445"/>
      <c r="P363" s="445"/>
    </row>
    <row r="364" spans="1:16" s="32" customFormat="1" ht="156" x14ac:dyDescent="0.2">
      <c r="A364" s="2">
        <v>5767</v>
      </c>
      <c r="B364" s="246">
        <v>45566</v>
      </c>
      <c r="C364" s="11" t="s">
        <v>2419</v>
      </c>
      <c r="D364" s="10" t="s">
        <v>2762</v>
      </c>
      <c r="E364" s="4" t="s">
        <v>2420</v>
      </c>
      <c r="F364" s="11" t="s">
        <v>2421</v>
      </c>
      <c r="G364" s="11" t="s">
        <v>2952</v>
      </c>
      <c r="H364" s="20" t="s">
        <v>2428</v>
      </c>
      <c r="I364" s="17" t="s">
        <v>2213</v>
      </c>
      <c r="J364" s="544" t="s">
        <v>2397</v>
      </c>
      <c r="K364" s="583">
        <v>46494</v>
      </c>
      <c r="L364" s="410">
        <v>45764</v>
      </c>
      <c r="M364" s="20" t="s">
        <v>26</v>
      </c>
      <c r="N364" s="445"/>
      <c r="O364" s="445"/>
      <c r="P364" s="445"/>
    </row>
    <row r="365" spans="1:16" s="520" customFormat="1" ht="72" x14ac:dyDescent="0.2">
      <c r="A365" s="2">
        <v>5768</v>
      </c>
      <c r="B365" s="246">
        <v>45597</v>
      </c>
      <c r="C365" s="11" t="s">
        <v>2422</v>
      </c>
      <c r="D365" s="10" t="s">
        <v>2729</v>
      </c>
      <c r="E365" s="4" t="s">
        <v>2423</v>
      </c>
      <c r="F365" s="11" t="s">
        <v>2142</v>
      </c>
      <c r="G365" s="11" t="s">
        <v>202</v>
      </c>
      <c r="H365" s="925" t="s">
        <v>3226</v>
      </c>
      <c r="I365" s="17" t="s">
        <v>2424</v>
      </c>
      <c r="J365" s="20" t="s">
        <v>2158</v>
      </c>
      <c r="K365" s="583">
        <v>46302</v>
      </c>
      <c r="L365" s="410">
        <v>45572</v>
      </c>
      <c r="M365" s="20" t="s">
        <v>295</v>
      </c>
      <c r="N365" s="445"/>
      <c r="O365" s="445"/>
      <c r="P365" s="445"/>
    </row>
    <row r="366" spans="1:16" s="32" customFormat="1" ht="96" x14ac:dyDescent="0.2">
      <c r="A366" s="285">
        <v>5769</v>
      </c>
      <c r="B366" s="375">
        <v>45597</v>
      </c>
      <c r="C366" s="287" t="s">
        <v>2427</v>
      </c>
      <c r="D366" s="398" t="s">
        <v>2726</v>
      </c>
      <c r="E366" s="286" t="s">
        <v>2425</v>
      </c>
      <c r="F366" s="287" t="s">
        <v>2426</v>
      </c>
      <c r="G366" s="287" t="s">
        <v>116</v>
      </c>
      <c r="H366" s="288" t="s">
        <v>2487</v>
      </c>
      <c r="I366" s="289" t="s">
        <v>2424</v>
      </c>
      <c r="J366" s="288" t="s">
        <v>678</v>
      </c>
      <c r="K366" s="593">
        <v>46310</v>
      </c>
      <c r="L366" s="386">
        <v>45565</v>
      </c>
      <c r="M366" s="288" t="s">
        <v>295</v>
      </c>
      <c r="N366" s="387"/>
      <c r="O366" s="387"/>
      <c r="P366" s="387"/>
    </row>
    <row r="367" spans="1:16" s="32" customFormat="1" ht="72" x14ac:dyDescent="0.2">
      <c r="A367" s="3">
        <v>5770</v>
      </c>
      <c r="B367" s="376">
        <v>45627</v>
      </c>
      <c r="C367" s="273" t="s">
        <v>2430</v>
      </c>
      <c r="D367" s="10" t="s">
        <v>2726</v>
      </c>
      <c r="E367" s="189" t="s">
        <v>2431</v>
      </c>
      <c r="F367" s="189" t="s">
        <v>2432</v>
      </c>
      <c r="G367" s="189" t="s">
        <v>1846</v>
      </c>
      <c r="H367" s="20" t="s">
        <v>2618</v>
      </c>
      <c r="I367" s="17" t="s">
        <v>2213</v>
      </c>
      <c r="J367" s="17" t="s">
        <v>46</v>
      </c>
      <c r="K367" s="579">
        <v>46447</v>
      </c>
      <c r="L367" s="410" t="s">
        <v>2997</v>
      </c>
      <c r="M367" s="20" t="s">
        <v>52</v>
      </c>
      <c r="N367" s="17"/>
      <c r="O367" s="17"/>
      <c r="P367" s="17"/>
    </row>
    <row r="368" spans="1:16" s="32" customFormat="1" ht="84" x14ac:dyDescent="0.2">
      <c r="A368" s="3">
        <v>5771</v>
      </c>
      <c r="B368" s="376">
        <v>45689</v>
      </c>
      <c r="C368" s="273" t="s">
        <v>2477</v>
      </c>
      <c r="D368" s="10" t="s">
        <v>2731</v>
      </c>
      <c r="E368" s="189" t="s">
        <v>2435</v>
      </c>
      <c r="F368" s="189" t="s">
        <v>2436</v>
      </c>
      <c r="G368" s="189" t="s">
        <v>131</v>
      </c>
      <c r="H368" s="20" t="s">
        <v>2995</v>
      </c>
      <c r="I368" s="17" t="s">
        <v>2437</v>
      </c>
      <c r="J368" s="17" t="s">
        <v>678</v>
      </c>
      <c r="K368" s="583">
        <v>46390</v>
      </c>
      <c r="L368" s="410">
        <v>45934</v>
      </c>
      <c r="M368" s="20" t="s">
        <v>52</v>
      </c>
      <c r="N368" s="464">
        <v>200</v>
      </c>
      <c r="O368" s="17"/>
      <c r="P368" s="17"/>
    </row>
    <row r="369" spans="1:16" s="32" customFormat="1" ht="197.25" customHeight="1" x14ac:dyDescent="0.2">
      <c r="A369" s="3">
        <v>5772</v>
      </c>
      <c r="B369" s="376">
        <v>45717</v>
      </c>
      <c r="C369" s="273" t="s">
        <v>3088</v>
      </c>
      <c r="D369" s="10" t="s">
        <v>2727</v>
      </c>
      <c r="E369" s="189" t="s">
        <v>2433</v>
      </c>
      <c r="F369" s="189" t="s">
        <v>2434</v>
      </c>
      <c r="G369" s="273" t="s">
        <v>2531</v>
      </c>
      <c r="H369" s="20" t="s">
        <v>2604</v>
      </c>
      <c r="I369" s="17" t="s">
        <v>2213</v>
      </c>
      <c r="J369" s="17" t="s">
        <v>678</v>
      </c>
      <c r="K369" s="579">
        <v>46418</v>
      </c>
      <c r="L369" s="410">
        <v>45941</v>
      </c>
      <c r="M369" s="20" t="s">
        <v>52</v>
      </c>
      <c r="N369" s="17"/>
      <c r="O369" s="17"/>
      <c r="P369" s="17"/>
    </row>
    <row r="370" spans="1:16" s="32" customFormat="1" ht="60" x14ac:dyDescent="0.2">
      <c r="A370" s="3">
        <v>5773</v>
      </c>
      <c r="B370" s="376">
        <v>45748</v>
      </c>
      <c r="C370" s="273" t="s">
        <v>2438</v>
      </c>
      <c r="D370" s="10" t="s">
        <v>2731</v>
      </c>
      <c r="E370" s="189" t="s">
        <v>2439</v>
      </c>
      <c r="F370" s="189" t="s">
        <v>399</v>
      </c>
      <c r="G370" s="189" t="s">
        <v>131</v>
      </c>
      <c r="H370" s="20" t="s">
        <v>2996</v>
      </c>
      <c r="I370" s="17" t="s">
        <v>2440</v>
      </c>
      <c r="J370" s="17" t="s">
        <v>678</v>
      </c>
      <c r="K370" s="583">
        <v>46390</v>
      </c>
      <c r="L370" s="410">
        <v>45934</v>
      </c>
      <c r="M370" s="20" t="s">
        <v>52</v>
      </c>
      <c r="N370" s="17"/>
      <c r="O370" s="17"/>
      <c r="P370" s="17"/>
    </row>
    <row r="371" spans="1:16" s="817" customFormat="1" ht="164.25" customHeight="1" x14ac:dyDescent="0.2">
      <c r="A371" s="482">
        <v>5774</v>
      </c>
      <c r="B371" s="816">
        <v>45778</v>
      </c>
      <c r="C371" s="485" t="s">
        <v>2443</v>
      </c>
      <c r="D371" s="483" t="s">
        <v>2744</v>
      </c>
      <c r="E371" s="484" t="s">
        <v>2467</v>
      </c>
      <c r="F371" s="484" t="s">
        <v>2441</v>
      </c>
      <c r="G371" s="484" t="s">
        <v>144</v>
      </c>
      <c r="H371" s="718" t="s">
        <v>2603</v>
      </c>
      <c r="I371" s="719" t="s">
        <v>2437</v>
      </c>
      <c r="J371" s="719" t="s">
        <v>678</v>
      </c>
      <c r="K371" s="720">
        <v>46492</v>
      </c>
      <c r="L371" s="413" t="s">
        <v>3208</v>
      </c>
      <c r="M371" s="281" t="s">
        <v>26</v>
      </c>
      <c r="N371" s="719"/>
      <c r="O371" s="719"/>
      <c r="P371" s="719"/>
    </row>
    <row r="372" spans="1:16" s="32" customFormat="1" ht="120" x14ac:dyDescent="0.2">
      <c r="A372" s="283">
        <v>5775</v>
      </c>
      <c r="B372" s="378">
        <v>45658</v>
      </c>
      <c r="C372" s="287" t="s">
        <v>2451</v>
      </c>
      <c r="D372" s="729" t="s">
        <v>2726</v>
      </c>
      <c r="E372" s="730" t="s">
        <v>2449</v>
      </c>
      <c r="F372" s="730" t="s">
        <v>2450</v>
      </c>
      <c r="G372" s="730" t="s">
        <v>202</v>
      </c>
      <c r="H372" s="935" t="s">
        <v>3225</v>
      </c>
      <c r="I372" s="732" t="s">
        <v>2452</v>
      </c>
      <c r="J372" s="289" t="s">
        <v>2481</v>
      </c>
      <c r="K372" s="594">
        <v>46372</v>
      </c>
      <c r="L372" s="386">
        <v>45604</v>
      </c>
      <c r="M372" s="288" t="s">
        <v>295</v>
      </c>
      <c r="N372" s="289"/>
      <c r="O372" s="289"/>
      <c r="P372" s="289"/>
    </row>
    <row r="373" spans="1:16" s="32" customFormat="1" ht="60.75" customHeight="1" x14ac:dyDescent="0.2">
      <c r="A373" s="535">
        <v>5776</v>
      </c>
      <c r="B373" s="536">
        <v>45658</v>
      </c>
      <c r="C373" s="537" t="s">
        <v>2453</v>
      </c>
      <c r="D373" s="524" t="s">
        <v>2731</v>
      </c>
      <c r="E373" s="525" t="s">
        <v>2454</v>
      </c>
      <c r="F373" s="525" t="s">
        <v>2455</v>
      </c>
      <c r="G373" s="525" t="s">
        <v>2235</v>
      </c>
      <c r="H373" s="538" t="s">
        <v>2663</v>
      </c>
      <c r="I373" s="527" t="s">
        <v>2374</v>
      </c>
      <c r="J373" s="527" t="s">
        <v>2158</v>
      </c>
      <c r="K373" s="585">
        <v>46362</v>
      </c>
      <c r="L373" s="539" t="s">
        <v>2806</v>
      </c>
      <c r="M373" s="538" t="s">
        <v>52</v>
      </c>
      <c r="N373" s="540">
        <v>150</v>
      </c>
      <c r="O373" s="525"/>
      <c r="P373" s="525" t="s">
        <v>35</v>
      </c>
    </row>
    <row r="374" spans="1:16" s="380" customFormat="1" ht="111.75" customHeight="1" x14ac:dyDescent="0.2">
      <c r="A374" s="3">
        <v>5778</v>
      </c>
      <c r="B374" s="379"/>
      <c r="C374" s="273" t="s">
        <v>2541</v>
      </c>
      <c r="D374" s="524" t="s">
        <v>2725</v>
      </c>
      <c r="E374" s="525" t="s">
        <v>1001</v>
      </c>
      <c r="F374" s="525" t="s">
        <v>1001</v>
      </c>
      <c r="G374" s="526" t="s">
        <v>3114</v>
      </c>
      <c r="H374" s="544"/>
      <c r="I374" s="527" t="s">
        <v>691</v>
      </c>
      <c r="J374" s="17" t="s">
        <v>34</v>
      </c>
      <c r="K374" s="579">
        <v>46234</v>
      </c>
      <c r="L374" s="410"/>
      <c r="M374" s="20"/>
      <c r="N374" s="17"/>
      <c r="O374" s="17"/>
      <c r="P374" s="17"/>
    </row>
    <row r="375" spans="1:16" s="373" customFormat="1" ht="63.75" customHeight="1" x14ac:dyDescent="0.2">
      <c r="A375" s="3">
        <v>5779</v>
      </c>
      <c r="B375" s="379">
        <v>45658</v>
      </c>
      <c r="C375" s="273" t="s">
        <v>2478</v>
      </c>
      <c r="D375" s="524" t="s">
        <v>2725</v>
      </c>
      <c r="E375" s="525" t="s">
        <v>2460</v>
      </c>
      <c r="F375" s="525" t="s">
        <v>2461</v>
      </c>
      <c r="G375" s="526" t="s">
        <v>3114</v>
      </c>
      <c r="H375" s="544" t="s">
        <v>2964</v>
      </c>
      <c r="I375" s="527" t="s">
        <v>2201</v>
      </c>
      <c r="J375" s="17" t="s">
        <v>678</v>
      </c>
      <c r="K375" s="579">
        <v>46234</v>
      </c>
      <c r="L375" s="545" t="s">
        <v>3163</v>
      </c>
      <c r="M375" s="544" t="s">
        <v>47</v>
      </c>
      <c r="N375" s="464">
        <v>200</v>
      </c>
      <c r="O375" s="17"/>
      <c r="P375" s="17"/>
    </row>
    <row r="376" spans="1:16" s="33" customFormat="1" ht="102.75" customHeight="1" x14ac:dyDescent="0.2">
      <c r="A376" s="3">
        <v>5780</v>
      </c>
      <c r="B376" s="379">
        <v>45658</v>
      </c>
      <c r="C376" s="273" t="s">
        <v>2507</v>
      </c>
      <c r="D376" s="524" t="s">
        <v>2726</v>
      </c>
      <c r="E376" s="525" t="s">
        <v>2470</v>
      </c>
      <c r="F376" s="526" t="s">
        <v>2472</v>
      </c>
      <c r="G376" s="526" t="s">
        <v>2323</v>
      </c>
      <c r="H376" s="544" t="s">
        <v>2955</v>
      </c>
      <c r="I376" s="527" t="s">
        <v>2231</v>
      </c>
      <c r="J376" s="17" t="s">
        <v>2158</v>
      </c>
      <c r="K376" s="579">
        <v>46216</v>
      </c>
      <c r="L376" s="545" t="s">
        <v>3164</v>
      </c>
      <c r="M376" s="544" t="s">
        <v>52</v>
      </c>
      <c r="N376" s="17"/>
      <c r="O376" s="17"/>
      <c r="P376" s="17"/>
    </row>
    <row r="377" spans="1:16" s="32" customFormat="1" ht="72" x14ac:dyDescent="0.2">
      <c r="A377" s="3">
        <v>5781</v>
      </c>
      <c r="B377" s="379">
        <v>45658</v>
      </c>
      <c r="C377" s="273" t="s">
        <v>2505</v>
      </c>
      <c r="D377" s="524" t="s">
        <v>2726</v>
      </c>
      <c r="E377" s="525" t="s">
        <v>2470</v>
      </c>
      <c r="F377" s="525" t="s">
        <v>2471</v>
      </c>
      <c r="G377" s="526" t="s">
        <v>2323</v>
      </c>
      <c r="H377" s="544" t="s">
        <v>2955</v>
      </c>
      <c r="I377" s="527" t="s">
        <v>2231</v>
      </c>
      <c r="J377" s="17" t="s">
        <v>2158</v>
      </c>
      <c r="K377" s="579">
        <v>46216</v>
      </c>
      <c r="L377" s="545" t="s">
        <v>3164</v>
      </c>
      <c r="M377" s="544" t="s">
        <v>52</v>
      </c>
      <c r="N377" s="17"/>
      <c r="O377" s="17"/>
      <c r="P377" s="17"/>
    </row>
    <row r="378" spans="1:16" s="32" customFormat="1" ht="60" x14ac:dyDescent="0.2">
      <c r="A378" s="3">
        <v>5782</v>
      </c>
      <c r="B378" s="379">
        <v>45658</v>
      </c>
      <c r="C378" s="273" t="s">
        <v>2506</v>
      </c>
      <c r="D378" s="524" t="s">
        <v>2726</v>
      </c>
      <c r="E378" s="525" t="s">
        <v>2470</v>
      </c>
      <c r="F378" s="525" t="s">
        <v>2227</v>
      </c>
      <c r="G378" s="526" t="s">
        <v>2323</v>
      </c>
      <c r="H378" s="544" t="s">
        <v>2955</v>
      </c>
      <c r="I378" s="527" t="s">
        <v>2231</v>
      </c>
      <c r="J378" s="17" t="s">
        <v>2158</v>
      </c>
      <c r="K378" s="579">
        <v>46216</v>
      </c>
      <c r="L378" s="545" t="s">
        <v>3164</v>
      </c>
      <c r="M378" s="544" t="s">
        <v>52</v>
      </c>
      <c r="N378" s="17"/>
      <c r="O378" s="17"/>
      <c r="P378" s="17"/>
    </row>
    <row r="379" spans="1:16" s="32" customFormat="1" ht="48" x14ac:dyDescent="0.2">
      <c r="A379" s="3">
        <v>5784</v>
      </c>
      <c r="B379" s="379">
        <v>45748</v>
      </c>
      <c r="C379" s="273" t="s">
        <v>2504</v>
      </c>
      <c r="D379" s="524" t="s">
        <v>2750</v>
      </c>
      <c r="E379" s="525" t="s">
        <v>2508</v>
      </c>
      <c r="F379" s="525" t="s">
        <v>2509</v>
      </c>
      <c r="G379" s="526" t="s">
        <v>2323</v>
      </c>
      <c r="H379" s="544"/>
      <c r="I379" s="527" t="s">
        <v>2336</v>
      </c>
      <c r="J379" s="349" t="s">
        <v>2576</v>
      </c>
      <c r="K379" s="579">
        <v>46458</v>
      </c>
      <c r="L379" s="410" t="s">
        <v>3023</v>
      </c>
      <c r="M379" s="20" t="s">
        <v>47</v>
      </c>
      <c r="N379" s="17"/>
      <c r="O379" s="17"/>
      <c r="P379" s="17"/>
    </row>
    <row r="380" spans="1:16" s="32" customFormat="1" ht="60" x14ac:dyDescent="0.2">
      <c r="A380" s="207">
        <v>5785</v>
      </c>
      <c r="B380" s="377" t="s">
        <v>575</v>
      </c>
      <c r="C380" s="210" t="s">
        <v>2611</v>
      </c>
      <c r="D380" s="483" t="s">
        <v>2725</v>
      </c>
      <c r="E380" s="484" t="s">
        <v>2513</v>
      </c>
      <c r="F380" s="484" t="s">
        <v>2194</v>
      </c>
      <c r="G380" s="485" t="s">
        <v>2605</v>
      </c>
      <c r="H380" s="718"/>
      <c r="I380" s="719" t="s">
        <v>2514</v>
      </c>
      <c r="J380" s="211" t="s">
        <v>678</v>
      </c>
      <c r="K380" s="584">
        <v>46492</v>
      </c>
      <c r="L380" s="413" t="s">
        <v>3208</v>
      </c>
      <c r="M380" s="281" t="s">
        <v>26</v>
      </c>
      <c r="N380" s="211"/>
      <c r="O380" s="211"/>
      <c r="P380" s="211"/>
    </row>
    <row r="381" spans="1:16" s="32" customFormat="1" ht="72" x14ac:dyDescent="0.2">
      <c r="A381" s="3">
        <v>5786</v>
      </c>
      <c r="B381" s="379">
        <v>45717</v>
      </c>
      <c r="C381" s="273" t="s">
        <v>2530</v>
      </c>
      <c r="D381" s="524" t="s">
        <v>2729</v>
      </c>
      <c r="E381" s="525" t="s">
        <v>2511</v>
      </c>
      <c r="F381" s="525" t="s">
        <v>2512</v>
      </c>
      <c r="G381" s="526" t="s">
        <v>202</v>
      </c>
      <c r="H381" s="925" t="s">
        <v>3227</v>
      </c>
      <c r="I381" s="527" t="s">
        <v>2452</v>
      </c>
      <c r="J381" s="17" t="s">
        <v>2158</v>
      </c>
      <c r="K381" s="579">
        <v>46436</v>
      </c>
      <c r="L381" s="410"/>
      <c r="M381" s="20"/>
      <c r="N381" s="17"/>
      <c r="O381" s="17"/>
      <c r="P381" s="17"/>
    </row>
    <row r="382" spans="1:16" s="32" customFormat="1" ht="62.25" customHeight="1" x14ac:dyDescent="0.2">
      <c r="A382" s="3">
        <v>5787</v>
      </c>
      <c r="B382" s="379">
        <v>45748</v>
      </c>
      <c r="C382" s="273" t="s">
        <v>2538</v>
      </c>
      <c r="D382" s="524" t="s">
        <v>2726</v>
      </c>
      <c r="E382" s="525" t="s">
        <v>2539</v>
      </c>
      <c r="F382" s="525" t="s">
        <v>2540</v>
      </c>
      <c r="G382" s="526" t="s">
        <v>2322</v>
      </c>
      <c r="H382" s="544" t="s">
        <v>3196</v>
      </c>
      <c r="I382" s="527" t="s">
        <v>2374</v>
      </c>
      <c r="J382" s="349" t="s">
        <v>678</v>
      </c>
      <c r="K382" s="579">
        <v>46472</v>
      </c>
      <c r="L382" s="410" t="s">
        <v>3009</v>
      </c>
      <c r="M382" s="20" t="s">
        <v>52</v>
      </c>
      <c r="N382" s="17"/>
      <c r="O382" s="17"/>
      <c r="P382" s="17"/>
    </row>
    <row r="383" spans="1:16" s="32" customFormat="1" ht="84" x14ac:dyDescent="0.2">
      <c r="A383" s="3">
        <v>5788</v>
      </c>
      <c r="B383" s="379">
        <v>45748</v>
      </c>
      <c r="C383" s="273" t="s">
        <v>2544</v>
      </c>
      <c r="D383" s="524" t="s">
        <v>2731</v>
      </c>
      <c r="E383" s="525" t="s">
        <v>2542</v>
      </c>
      <c r="F383" s="525" t="s">
        <v>2565</v>
      </c>
      <c r="G383" s="526" t="s">
        <v>2375</v>
      </c>
      <c r="H383" s="544" t="s">
        <v>2566</v>
      </c>
      <c r="I383" s="527" t="s">
        <v>2231</v>
      </c>
      <c r="J383" s="528" t="s">
        <v>34</v>
      </c>
      <c r="K383" s="585">
        <v>46470</v>
      </c>
      <c r="L383" s="410" t="s">
        <v>3011</v>
      </c>
      <c r="M383" s="20" t="s">
        <v>47</v>
      </c>
      <c r="N383" s="17"/>
      <c r="O383" s="17"/>
      <c r="P383" s="17"/>
    </row>
    <row r="384" spans="1:16" s="32" customFormat="1" ht="48" customHeight="1" x14ac:dyDescent="0.2">
      <c r="A384" s="3">
        <v>5789</v>
      </c>
      <c r="B384" s="379">
        <v>45748</v>
      </c>
      <c r="C384" s="273" t="s">
        <v>2545</v>
      </c>
      <c r="D384" s="524" t="s">
        <v>2731</v>
      </c>
      <c r="E384" s="525" t="s">
        <v>2542</v>
      </c>
      <c r="F384" s="525" t="s">
        <v>2543</v>
      </c>
      <c r="G384" s="526" t="s">
        <v>2375</v>
      </c>
      <c r="H384" s="544" t="s">
        <v>2566</v>
      </c>
      <c r="I384" s="527" t="s">
        <v>2231</v>
      </c>
      <c r="J384" s="528" t="s">
        <v>34</v>
      </c>
      <c r="K384" s="585">
        <v>46470</v>
      </c>
      <c r="L384" s="410" t="s">
        <v>3011</v>
      </c>
      <c r="M384" s="20" t="s">
        <v>47</v>
      </c>
      <c r="N384" s="17"/>
      <c r="O384" s="17"/>
      <c r="P384" s="17"/>
    </row>
    <row r="385" spans="1:35" s="520" customFormat="1" ht="63.75" customHeight="1" x14ac:dyDescent="0.2">
      <c r="A385" s="3">
        <v>5790</v>
      </c>
      <c r="B385" s="379">
        <v>45748</v>
      </c>
      <c r="C385" s="273" t="s">
        <v>2546</v>
      </c>
      <c r="D385" s="524" t="s">
        <v>2731</v>
      </c>
      <c r="E385" s="525" t="s">
        <v>2542</v>
      </c>
      <c r="F385" s="525" t="s">
        <v>77</v>
      </c>
      <c r="G385" s="526" t="s">
        <v>2375</v>
      </c>
      <c r="H385" s="544" t="s">
        <v>2566</v>
      </c>
      <c r="I385" s="527" t="s">
        <v>2231</v>
      </c>
      <c r="J385" s="528" t="s">
        <v>34</v>
      </c>
      <c r="K385" s="585">
        <v>46470</v>
      </c>
      <c r="L385" s="410" t="s">
        <v>3011</v>
      </c>
      <c r="M385" s="20" t="s">
        <v>47</v>
      </c>
      <c r="N385" s="17"/>
      <c r="O385" s="17"/>
      <c r="P385" s="17"/>
    </row>
    <row r="386" spans="1:35" s="648" customFormat="1" ht="66" customHeight="1" x14ac:dyDescent="0.2">
      <c r="A386" s="3">
        <v>5791</v>
      </c>
      <c r="B386" s="379">
        <v>45748</v>
      </c>
      <c r="C386" s="273" t="s">
        <v>2549</v>
      </c>
      <c r="D386" s="524" t="s">
        <v>2731</v>
      </c>
      <c r="E386" s="525" t="s">
        <v>2550</v>
      </c>
      <c r="F386" s="526" t="s">
        <v>2551</v>
      </c>
      <c r="G386" s="526" t="s">
        <v>2235</v>
      </c>
      <c r="H386" s="538" t="s">
        <v>2968</v>
      </c>
      <c r="I386" s="527" t="s">
        <v>2318</v>
      </c>
      <c r="J386" s="17" t="s">
        <v>2158</v>
      </c>
      <c r="K386" s="579">
        <v>46450</v>
      </c>
      <c r="L386" s="19" t="s">
        <v>3001</v>
      </c>
      <c r="M386" s="11" t="s">
        <v>47</v>
      </c>
      <c r="N386" s="189"/>
      <c r="O386" s="189"/>
      <c r="P386" s="189" t="s">
        <v>35</v>
      </c>
    </row>
    <row r="387" spans="1:35" s="373" customFormat="1" ht="48" customHeight="1" x14ac:dyDescent="0.2">
      <c r="A387" s="207">
        <v>5792</v>
      </c>
      <c r="B387" s="377">
        <v>45839</v>
      </c>
      <c r="C387" s="210" t="s">
        <v>2633</v>
      </c>
      <c r="D387" s="483" t="s">
        <v>2731</v>
      </c>
      <c r="E387" s="484" t="s">
        <v>2553</v>
      </c>
      <c r="F387" s="485" t="s">
        <v>2554</v>
      </c>
      <c r="G387" s="485" t="s">
        <v>131</v>
      </c>
      <c r="H387" s="718" t="s">
        <v>2818</v>
      </c>
      <c r="I387" s="719" t="s">
        <v>2374</v>
      </c>
      <c r="J387" s="211" t="s">
        <v>678</v>
      </c>
      <c r="K387" s="584">
        <v>46538</v>
      </c>
      <c r="L387" s="413" t="s">
        <v>3073</v>
      </c>
      <c r="M387" s="281" t="s">
        <v>26</v>
      </c>
      <c r="N387" s="211"/>
      <c r="O387" s="211"/>
      <c r="P387" s="211"/>
    </row>
    <row r="388" spans="1:35" s="373" customFormat="1" ht="48" customHeight="1" x14ac:dyDescent="0.2">
      <c r="A388" s="3">
        <v>5793</v>
      </c>
      <c r="B388" s="379">
        <v>45748</v>
      </c>
      <c r="C388" s="273" t="s">
        <v>2564</v>
      </c>
      <c r="D388" s="10" t="s">
        <v>2727</v>
      </c>
      <c r="E388" s="189" t="s">
        <v>2562</v>
      </c>
      <c r="F388" s="273" t="s">
        <v>87</v>
      </c>
      <c r="G388" s="273" t="s">
        <v>2501</v>
      </c>
      <c r="H388" s="20"/>
      <c r="I388" s="17" t="s">
        <v>2563</v>
      </c>
      <c r="J388" s="17" t="s">
        <v>678</v>
      </c>
      <c r="K388" s="579">
        <v>46446</v>
      </c>
      <c r="L388" s="410">
        <v>45786</v>
      </c>
      <c r="M388" s="20" t="s">
        <v>47</v>
      </c>
      <c r="N388" s="17"/>
      <c r="O388" s="17"/>
      <c r="P388" s="17"/>
    </row>
    <row r="389" spans="1:35" s="373" customFormat="1" ht="86.25" customHeight="1" x14ac:dyDescent="0.2">
      <c r="A389" s="3">
        <v>5794</v>
      </c>
      <c r="B389" s="379">
        <v>45809</v>
      </c>
      <c r="C389" s="273" t="s">
        <v>2692</v>
      </c>
      <c r="D389" s="10" t="s">
        <v>2728</v>
      </c>
      <c r="E389" s="189" t="s">
        <v>2572</v>
      </c>
      <c r="F389" s="273" t="s">
        <v>2620</v>
      </c>
      <c r="G389" s="273" t="s">
        <v>50</v>
      </c>
      <c r="H389" s="20"/>
      <c r="I389" s="17" t="s">
        <v>2334</v>
      </c>
      <c r="J389" s="527" t="s">
        <v>678</v>
      </c>
      <c r="K389" s="689">
        <v>46509</v>
      </c>
      <c r="L389" s="410" t="s">
        <v>3074</v>
      </c>
      <c r="M389" s="20" t="s">
        <v>52</v>
      </c>
      <c r="N389" s="437"/>
      <c r="O389" s="17"/>
      <c r="P389" s="17"/>
    </row>
    <row r="390" spans="1:35" s="373" customFormat="1" ht="72" x14ac:dyDescent="0.2">
      <c r="A390" s="3">
        <v>5795</v>
      </c>
      <c r="B390" s="379">
        <v>45809</v>
      </c>
      <c r="C390" s="273" t="s">
        <v>2581</v>
      </c>
      <c r="D390" s="10" t="s">
        <v>2725</v>
      </c>
      <c r="E390" s="189" t="s">
        <v>2582</v>
      </c>
      <c r="F390" s="273" t="s">
        <v>2583</v>
      </c>
      <c r="G390" s="273" t="s">
        <v>189</v>
      </c>
      <c r="H390" s="20" t="s">
        <v>2644</v>
      </c>
      <c r="I390" s="17" t="s">
        <v>2334</v>
      </c>
      <c r="J390" s="17" t="s">
        <v>1668</v>
      </c>
      <c r="K390" s="579">
        <v>46346</v>
      </c>
      <c r="L390" s="410" t="s">
        <v>2807</v>
      </c>
      <c r="M390" s="20" t="s">
        <v>2808</v>
      </c>
      <c r="N390" s="465">
        <v>150</v>
      </c>
      <c r="O390" s="17"/>
      <c r="P390" s="17"/>
    </row>
    <row r="391" spans="1:35" s="373" customFormat="1" ht="52.5" customHeight="1" x14ac:dyDescent="0.2">
      <c r="A391" s="3">
        <v>5796</v>
      </c>
      <c r="B391" s="379">
        <v>45809</v>
      </c>
      <c r="C391" s="273" t="s">
        <v>2584</v>
      </c>
      <c r="D391" s="10" t="s">
        <v>2753</v>
      </c>
      <c r="E391" s="189" t="s">
        <v>2585</v>
      </c>
      <c r="F391" s="273" t="s">
        <v>2586</v>
      </c>
      <c r="G391" s="273" t="s">
        <v>2444</v>
      </c>
      <c r="H391" s="20"/>
      <c r="I391" s="349" t="s">
        <v>2587</v>
      </c>
      <c r="J391" s="17" t="s">
        <v>678</v>
      </c>
      <c r="K391" s="579">
        <v>46263</v>
      </c>
      <c r="L391" s="410">
        <v>45811</v>
      </c>
      <c r="M391" s="20" t="s">
        <v>47</v>
      </c>
      <c r="N391" s="17"/>
      <c r="O391" s="17"/>
      <c r="P391" s="17"/>
    </row>
    <row r="392" spans="1:35" s="373" customFormat="1" ht="87" customHeight="1" x14ac:dyDescent="0.2">
      <c r="A392" s="3">
        <v>5797</v>
      </c>
      <c r="B392" s="379">
        <v>45839</v>
      </c>
      <c r="C392" s="273" t="s">
        <v>2676</v>
      </c>
      <c r="D392" s="10" t="s">
        <v>2727</v>
      </c>
      <c r="E392" s="189" t="s">
        <v>2594</v>
      </c>
      <c r="F392" s="273" t="s">
        <v>2595</v>
      </c>
      <c r="G392" s="273" t="s">
        <v>2548</v>
      </c>
      <c r="H392" s="20" t="s">
        <v>2635</v>
      </c>
      <c r="I392" s="349" t="s">
        <v>2231</v>
      </c>
      <c r="J392" s="527" t="s">
        <v>678</v>
      </c>
      <c r="K392" s="585">
        <v>46538</v>
      </c>
      <c r="L392" s="545" t="s">
        <v>3073</v>
      </c>
      <c r="M392" s="544" t="s">
        <v>52</v>
      </c>
      <c r="N392" s="527"/>
      <c r="O392" s="17"/>
      <c r="P392" s="17"/>
    </row>
    <row r="393" spans="1:35" s="373" customFormat="1" ht="48" x14ac:dyDescent="0.2">
      <c r="A393" s="3">
        <v>5798</v>
      </c>
      <c r="B393" s="379">
        <v>45839</v>
      </c>
      <c r="C393" s="273" t="s">
        <v>2677</v>
      </c>
      <c r="D393" s="10" t="s">
        <v>2727</v>
      </c>
      <c r="E393" s="189" t="s">
        <v>2594</v>
      </c>
      <c r="F393" s="273" t="s">
        <v>2596</v>
      </c>
      <c r="G393" s="273" t="s">
        <v>2548</v>
      </c>
      <c r="H393" s="20" t="s">
        <v>2635</v>
      </c>
      <c r="I393" s="349" t="s">
        <v>2231</v>
      </c>
      <c r="J393" s="527" t="s">
        <v>678</v>
      </c>
      <c r="K393" s="585">
        <v>46538</v>
      </c>
      <c r="L393" s="545" t="s">
        <v>3073</v>
      </c>
      <c r="M393" s="544" t="s">
        <v>52</v>
      </c>
      <c r="N393" s="527"/>
      <c r="O393" s="17"/>
      <c r="P393" s="17"/>
    </row>
    <row r="394" spans="1:35" s="9" customFormat="1" ht="66.75" customHeight="1" x14ac:dyDescent="0.25">
      <c r="A394" s="3">
        <v>5799</v>
      </c>
      <c r="B394" s="379">
        <v>45870</v>
      </c>
      <c r="C394" s="273" t="s">
        <v>2599</v>
      </c>
      <c r="D394" s="10" t="s">
        <v>2730</v>
      </c>
      <c r="E394" s="189" t="s">
        <v>2597</v>
      </c>
      <c r="F394" s="273" t="s">
        <v>2598</v>
      </c>
      <c r="G394" s="273" t="s">
        <v>139</v>
      </c>
      <c r="H394" s="20" t="s">
        <v>2827</v>
      </c>
      <c r="I394" s="349" t="s">
        <v>2201</v>
      </c>
      <c r="J394" s="527" t="s">
        <v>678</v>
      </c>
      <c r="K394" s="585">
        <v>46214</v>
      </c>
      <c r="L394" s="545" t="s">
        <v>3179</v>
      </c>
      <c r="M394" s="544" t="s">
        <v>52</v>
      </c>
      <c r="N394" s="527"/>
      <c r="O394" s="17"/>
      <c r="P394" s="17"/>
      <c r="Q394" s="33"/>
      <c r="R394" s="33"/>
      <c r="S394" s="33"/>
      <c r="T394" s="33"/>
      <c r="U394" s="33"/>
      <c r="V394" s="33"/>
      <c r="W394" s="33"/>
      <c r="X394" s="33"/>
      <c r="Y394" s="33"/>
      <c r="Z394" s="33"/>
      <c r="AA394" s="33"/>
      <c r="AB394" s="33"/>
      <c r="AC394" s="33"/>
      <c r="AD394" s="33"/>
      <c r="AE394" s="33"/>
      <c r="AF394" s="33"/>
      <c r="AG394" s="33"/>
      <c r="AH394" s="33"/>
      <c r="AI394" s="33"/>
    </row>
    <row r="395" spans="1:35" s="373" customFormat="1" ht="100.5" customHeight="1" x14ac:dyDescent="0.2">
      <c r="A395" s="3">
        <v>5800</v>
      </c>
      <c r="B395" s="379">
        <v>45931</v>
      </c>
      <c r="C395" s="526" t="s">
        <v>2658</v>
      </c>
      <c r="D395" s="524" t="s">
        <v>2750</v>
      </c>
      <c r="E395" s="525" t="s">
        <v>2601</v>
      </c>
      <c r="F395" s="526" t="s">
        <v>2602</v>
      </c>
      <c r="G395" s="526" t="s">
        <v>2323</v>
      </c>
      <c r="H395" s="544" t="s">
        <v>3084</v>
      </c>
      <c r="I395" s="528" t="s">
        <v>2374</v>
      </c>
      <c r="J395" s="527" t="s">
        <v>46</v>
      </c>
      <c r="K395" s="585">
        <v>46255</v>
      </c>
      <c r="L395" s="545" t="s">
        <v>3019</v>
      </c>
      <c r="M395" s="544" t="s">
        <v>52</v>
      </c>
      <c r="N395" s="527" t="s">
        <v>2854</v>
      </c>
      <c r="O395" s="17" t="s">
        <v>2854</v>
      </c>
      <c r="P395" s="17" t="s">
        <v>2854</v>
      </c>
    </row>
    <row r="396" spans="1:35" s="373" customFormat="1" ht="63.75" customHeight="1" x14ac:dyDescent="0.2">
      <c r="A396" s="207">
        <v>5801</v>
      </c>
      <c r="B396" s="377">
        <v>45870</v>
      </c>
      <c r="C396" s="717" t="s">
        <v>2688</v>
      </c>
      <c r="D396" s="483" t="s">
        <v>2725</v>
      </c>
      <c r="E396" s="484" t="s">
        <v>2606</v>
      </c>
      <c r="F396" s="485" t="s">
        <v>298</v>
      </c>
      <c r="G396" s="485" t="s">
        <v>189</v>
      </c>
      <c r="H396" s="718"/>
      <c r="I396" s="718" t="s">
        <v>2607</v>
      </c>
      <c r="J396" s="719" t="s">
        <v>678</v>
      </c>
      <c r="K396" s="720">
        <v>46492</v>
      </c>
      <c r="L396" s="413" t="s">
        <v>3208</v>
      </c>
      <c r="M396" s="281" t="s">
        <v>26</v>
      </c>
      <c r="N396" s="719"/>
      <c r="O396" s="211"/>
      <c r="P396" s="211"/>
    </row>
    <row r="397" spans="1:35" s="373" customFormat="1" ht="49.5" customHeight="1" x14ac:dyDescent="0.2">
      <c r="A397" s="207">
        <v>5802</v>
      </c>
      <c r="B397" s="377">
        <v>45762</v>
      </c>
      <c r="C397" s="485" t="s">
        <v>2609</v>
      </c>
      <c r="D397" s="483" t="s">
        <v>2725</v>
      </c>
      <c r="E397" s="484" t="s">
        <v>28</v>
      </c>
      <c r="F397" s="485" t="s">
        <v>2608</v>
      </c>
      <c r="G397" s="485" t="s">
        <v>2922</v>
      </c>
      <c r="H397" s="718" t="s">
        <v>2682</v>
      </c>
      <c r="I397" s="718" t="s">
        <v>691</v>
      </c>
      <c r="J397" s="719" t="s">
        <v>678</v>
      </c>
      <c r="K397" s="720">
        <v>46492</v>
      </c>
      <c r="L397" s="413" t="s">
        <v>3208</v>
      </c>
      <c r="M397" s="281" t="s">
        <v>26</v>
      </c>
      <c r="N397" s="719"/>
      <c r="O397" s="211"/>
      <c r="P397" s="211"/>
    </row>
    <row r="398" spans="1:35" s="373" customFormat="1" ht="49.5" customHeight="1" x14ac:dyDescent="0.2">
      <c r="A398" s="207">
        <v>5803</v>
      </c>
      <c r="B398" s="377">
        <v>45762</v>
      </c>
      <c r="C398" s="485" t="s">
        <v>2610</v>
      </c>
      <c r="D398" s="483" t="s">
        <v>2725</v>
      </c>
      <c r="E398" s="484" t="s">
        <v>28</v>
      </c>
      <c r="F398" s="485" t="s">
        <v>194</v>
      </c>
      <c r="G398" s="485" t="s">
        <v>2922</v>
      </c>
      <c r="H398" s="718" t="s">
        <v>2683</v>
      </c>
      <c r="I398" s="718" t="s">
        <v>2210</v>
      </c>
      <c r="J398" s="719" t="s">
        <v>678</v>
      </c>
      <c r="K398" s="720">
        <v>46492</v>
      </c>
      <c r="L398" s="413" t="s">
        <v>3208</v>
      </c>
      <c r="M398" s="281" t="s">
        <v>26</v>
      </c>
      <c r="N398" s="719"/>
      <c r="O398" s="211"/>
      <c r="P398" s="211"/>
    </row>
    <row r="399" spans="1:35" s="373" customFormat="1" ht="63.75" customHeight="1" x14ac:dyDescent="0.2">
      <c r="A399" s="535">
        <v>5804</v>
      </c>
      <c r="B399" s="536">
        <v>45839</v>
      </c>
      <c r="C399" s="526" t="s">
        <v>2673</v>
      </c>
      <c r="D399" s="524" t="s">
        <v>2727</v>
      </c>
      <c r="E399" s="525" t="s">
        <v>2622</v>
      </c>
      <c r="F399" s="526" t="s">
        <v>288</v>
      </c>
      <c r="G399" s="526" t="s">
        <v>2235</v>
      </c>
      <c r="H399" s="538" t="s">
        <v>2969</v>
      </c>
      <c r="I399" s="528" t="s">
        <v>2231</v>
      </c>
      <c r="J399" s="527" t="s">
        <v>2158</v>
      </c>
      <c r="K399" s="585">
        <v>46193</v>
      </c>
      <c r="L399" s="545" t="s">
        <v>3119</v>
      </c>
      <c r="M399" s="544" t="s">
        <v>52</v>
      </c>
      <c r="N399" s="525"/>
      <c r="O399" s="525"/>
      <c r="P399" s="525" t="s">
        <v>35</v>
      </c>
    </row>
    <row r="400" spans="1:35" s="373" customFormat="1" ht="54" customHeight="1" x14ac:dyDescent="0.2">
      <c r="A400" s="535">
        <v>5805</v>
      </c>
      <c r="B400" s="536">
        <v>45839</v>
      </c>
      <c r="C400" s="526" t="s">
        <v>2674</v>
      </c>
      <c r="D400" s="524" t="s">
        <v>2727</v>
      </c>
      <c r="E400" s="525" t="s">
        <v>2622</v>
      </c>
      <c r="F400" s="526" t="s">
        <v>343</v>
      </c>
      <c r="G400" s="526" t="s">
        <v>2235</v>
      </c>
      <c r="H400" s="538" t="s">
        <v>2969</v>
      </c>
      <c r="I400" s="528" t="s">
        <v>2231</v>
      </c>
      <c r="J400" s="527" t="s">
        <v>2158</v>
      </c>
      <c r="K400" s="585">
        <v>46193</v>
      </c>
      <c r="L400" s="545" t="s">
        <v>3119</v>
      </c>
      <c r="M400" s="544" t="s">
        <v>52</v>
      </c>
      <c r="N400" s="525"/>
      <c r="O400" s="525"/>
      <c r="P400" s="525" t="s">
        <v>35</v>
      </c>
    </row>
    <row r="401" spans="1:16" s="373" customFormat="1" ht="49.5" customHeight="1" x14ac:dyDescent="0.2">
      <c r="A401" s="3">
        <v>5806</v>
      </c>
      <c r="B401" s="379">
        <v>45870</v>
      </c>
      <c r="C401" s="526" t="s">
        <v>2675</v>
      </c>
      <c r="D401" s="524" t="s">
        <v>2727</v>
      </c>
      <c r="E401" s="525" t="s">
        <v>2622</v>
      </c>
      <c r="F401" s="526" t="s">
        <v>77</v>
      </c>
      <c r="G401" s="526" t="s">
        <v>2605</v>
      </c>
      <c r="H401" s="544"/>
      <c r="I401" s="528" t="s">
        <v>2231</v>
      </c>
      <c r="J401" s="527" t="s">
        <v>2158</v>
      </c>
      <c r="K401" s="585">
        <v>46193</v>
      </c>
      <c r="L401" s="545" t="s">
        <v>3119</v>
      </c>
      <c r="M401" s="544" t="s">
        <v>52</v>
      </c>
      <c r="N401" s="527"/>
      <c r="O401" s="17"/>
      <c r="P401" s="17"/>
    </row>
    <row r="402" spans="1:16" s="373" customFormat="1" ht="48" customHeight="1" x14ac:dyDescent="0.2">
      <c r="A402" s="3">
        <v>5807</v>
      </c>
      <c r="B402" s="379">
        <v>45901</v>
      </c>
      <c r="C402" s="526" t="s">
        <v>2624</v>
      </c>
      <c r="D402" s="524" t="s">
        <v>2727</v>
      </c>
      <c r="E402" s="525" t="s">
        <v>2625</v>
      </c>
      <c r="F402" s="526" t="s">
        <v>1456</v>
      </c>
      <c r="G402" s="526" t="s">
        <v>2501</v>
      </c>
      <c r="H402" s="544"/>
      <c r="I402" s="528" t="s">
        <v>2205</v>
      </c>
      <c r="J402" s="528" t="s">
        <v>678</v>
      </c>
      <c r="K402" s="585">
        <v>46386</v>
      </c>
      <c r="L402" s="545" t="s">
        <v>3048</v>
      </c>
      <c r="M402" s="544" t="s">
        <v>26</v>
      </c>
      <c r="N402" s="527"/>
      <c r="O402" s="17"/>
      <c r="P402" s="17"/>
    </row>
    <row r="403" spans="1:16" s="373" customFormat="1" ht="106.5" customHeight="1" x14ac:dyDescent="0.2">
      <c r="A403" s="3">
        <v>5808</v>
      </c>
      <c r="B403" s="379">
        <v>45870</v>
      </c>
      <c r="C403" s="523" t="s">
        <v>2861</v>
      </c>
      <c r="D403" s="524" t="s">
        <v>2726</v>
      </c>
      <c r="E403" s="525" t="s">
        <v>2623</v>
      </c>
      <c r="F403" s="526" t="s">
        <v>2804</v>
      </c>
      <c r="G403" s="526" t="s">
        <v>3061</v>
      </c>
      <c r="H403" s="544" t="s">
        <v>2719</v>
      </c>
      <c r="I403" s="528" t="s">
        <v>2231</v>
      </c>
      <c r="J403" s="527" t="s">
        <v>2158</v>
      </c>
      <c r="K403" s="585">
        <v>46203</v>
      </c>
      <c r="L403" s="545" t="s">
        <v>3085</v>
      </c>
      <c r="M403" s="544" t="s">
        <v>52</v>
      </c>
      <c r="N403" s="527"/>
      <c r="O403" s="17"/>
      <c r="P403" s="17"/>
    </row>
    <row r="404" spans="1:16" s="373" customFormat="1" ht="87" customHeight="1" x14ac:dyDescent="0.2">
      <c r="A404" s="3">
        <v>5809</v>
      </c>
      <c r="B404" s="379">
        <v>45870</v>
      </c>
      <c r="C404" s="526" t="s">
        <v>2862</v>
      </c>
      <c r="D404" s="524" t="s">
        <v>2726</v>
      </c>
      <c r="E404" s="525" t="s">
        <v>2623</v>
      </c>
      <c r="F404" s="526" t="s">
        <v>2865</v>
      </c>
      <c r="G404" s="526" t="s">
        <v>3061</v>
      </c>
      <c r="H404" s="544" t="s">
        <v>2719</v>
      </c>
      <c r="I404" s="528" t="s">
        <v>2231</v>
      </c>
      <c r="J404" s="527" t="s">
        <v>2158</v>
      </c>
      <c r="K404" s="585">
        <v>46203</v>
      </c>
      <c r="L404" s="545" t="s">
        <v>3085</v>
      </c>
      <c r="M404" s="544" t="s">
        <v>52</v>
      </c>
      <c r="N404" s="527"/>
      <c r="O404" s="17"/>
      <c r="P404" s="17"/>
    </row>
    <row r="405" spans="1:16" s="373" customFormat="1" ht="55.5" customHeight="1" x14ac:dyDescent="0.2">
      <c r="A405" s="3">
        <v>5810</v>
      </c>
      <c r="B405" s="379">
        <v>45870</v>
      </c>
      <c r="C405" s="526" t="s">
        <v>2863</v>
      </c>
      <c r="D405" s="524" t="s">
        <v>2726</v>
      </c>
      <c r="E405" s="525" t="s">
        <v>2623</v>
      </c>
      <c r="F405" s="526" t="s">
        <v>2864</v>
      </c>
      <c r="G405" s="526" t="s">
        <v>38</v>
      </c>
      <c r="H405" s="544" t="s">
        <v>2719</v>
      </c>
      <c r="I405" s="528" t="s">
        <v>2231</v>
      </c>
      <c r="J405" s="528" t="s">
        <v>2982</v>
      </c>
      <c r="K405" s="585">
        <v>46203</v>
      </c>
      <c r="L405" s="545" t="s">
        <v>3085</v>
      </c>
      <c r="M405" s="544" t="s">
        <v>52</v>
      </c>
      <c r="N405" s="527"/>
      <c r="O405" s="17"/>
      <c r="P405" s="17"/>
    </row>
    <row r="406" spans="1:16" s="373" customFormat="1" ht="101.25" customHeight="1" x14ac:dyDescent="0.2">
      <c r="A406" s="3">
        <v>5811</v>
      </c>
      <c r="B406" s="379">
        <v>45931</v>
      </c>
      <c r="C406" s="526" t="s">
        <v>3097</v>
      </c>
      <c r="D406" s="524" t="s">
        <v>2732</v>
      </c>
      <c r="E406" s="525" t="s">
        <v>2626</v>
      </c>
      <c r="F406" s="526" t="s">
        <v>2627</v>
      </c>
      <c r="G406" s="526" t="s">
        <v>189</v>
      </c>
      <c r="H406" s="544" t="s">
        <v>2953</v>
      </c>
      <c r="I406" s="528" t="s">
        <v>2334</v>
      </c>
      <c r="J406" s="527" t="s">
        <v>429</v>
      </c>
      <c r="K406" s="585">
        <v>46267</v>
      </c>
      <c r="L406" s="545" t="s">
        <v>3093</v>
      </c>
      <c r="M406" s="544" t="s">
        <v>47</v>
      </c>
      <c r="N406" s="527"/>
      <c r="O406" s="17"/>
      <c r="P406" s="17"/>
    </row>
    <row r="407" spans="1:16" s="571" customFormat="1" ht="72" x14ac:dyDescent="0.25">
      <c r="A407" s="609" t="s">
        <v>2911</v>
      </c>
      <c r="B407" s="613">
        <v>45901</v>
      </c>
      <c r="C407" s="722" t="s">
        <v>2763</v>
      </c>
      <c r="D407" s="723" t="s">
        <v>2742</v>
      </c>
      <c r="E407" s="724" t="s">
        <v>2628</v>
      </c>
      <c r="F407" s="722" t="s">
        <v>2629</v>
      </c>
      <c r="G407" s="722" t="s">
        <v>38</v>
      </c>
      <c r="H407" s="782" t="s">
        <v>3136</v>
      </c>
      <c r="I407" s="725" t="s">
        <v>2334</v>
      </c>
      <c r="J407" s="726" t="s">
        <v>429</v>
      </c>
      <c r="K407" s="727">
        <v>46260</v>
      </c>
      <c r="L407" s="728" t="s">
        <v>3141</v>
      </c>
      <c r="M407" s="544" t="s">
        <v>47</v>
      </c>
      <c r="N407" s="726"/>
      <c r="O407" s="628"/>
      <c r="P407" s="628"/>
    </row>
    <row r="408" spans="1:16" s="571" customFormat="1" ht="48" x14ac:dyDescent="0.25">
      <c r="A408" s="609" t="s">
        <v>2684</v>
      </c>
      <c r="B408" s="613">
        <v>45839</v>
      </c>
      <c r="C408" s="722" t="s">
        <v>2630</v>
      </c>
      <c r="D408" s="723" t="s">
        <v>2725</v>
      </c>
      <c r="E408" s="724" t="s">
        <v>2631</v>
      </c>
      <c r="F408" s="722" t="s">
        <v>2632</v>
      </c>
      <c r="G408" s="722" t="s">
        <v>2501</v>
      </c>
      <c r="H408" s="623"/>
      <c r="I408" s="725" t="s">
        <v>2563</v>
      </c>
      <c r="J408" s="726" t="s">
        <v>2397</v>
      </c>
      <c r="K408" s="727">
        <v>46507</v>
      </c>
      <c r="L408" s="728" t="s">
        <v>3039</v>
      </c>
      <c r="M408" s="544" t="s">
        <v>47</v>
      </c>
      <c r="N408" s="726"/>
      <c r="O408" s="628"/>
      <c r="P408" s="628"/>
    </row>
    <row r="409" spans="1:16" s="33" customFormat="1" ht="91.5" customHeight="1" x14ac:dyDescent="0.2">
      <c r="A409" s="3">
        <v>5814</v>
      </c>
      <c r="B409" s="379">
        <v>45870</v>
      </c>
      <c r="C409" s="526" t="s">
        <v>2654</v>
      </c>
      <c r="D409" s="524" t="s">
        <v>2745</v>
      </c>
      <c r="E409" s="525" t="s">
        <v>2652</v>
      </c>
      <c r="F409" s="526" t="s">
        <v>2653</v>
      </c>
      <c r="G409" s="526" t="s">
        <v>2893</v>
      </c>
      <c r="H409" s="544" t="s">
        <v>3098</v>
      </c>
      <c r="I409" s="528" t="s">
        <v>2424</v>
      </c>
      <c r="J409" s="527" t="s">
        <v>678</v>
      </c>
      <c r="K409" s="919">
        <v>46568</v>
      </c>
      <c r="L409" s="545" t="s">
        <v>3045</v>
      </c>
      <c r="M409" s="544" t="s">
        <v>52</v>
      </c>
      <c r="N409" s="527"/>
      <c r="O409" s="17"/>
      <c r="P409" s="17"/>
    </row>
    <row r="410" spans="1:16" s="373" customFormat="1" ht="53.25" customHeight="1" x14ac:dyDescent="0.2">
      <c r="A410" s="541">
        <v>5815</v>
      </c>
      <c r="B410" s="542">
        <v>45901</v>
      </c>
      <c r="C410" s="528" t="s">
        <v>2657</v>
      </c>
      <c r="D410" s="543" t="s">
        <v>2730</v>
      </c>
      <c r="E410" s="527" t="s">
        <v>2655</v>
      </c>
      <c r="F410" s="528" t="s">
        <v>2053</v>
      </c>
      <c r="G410" s="528" t="s">
        <v>2235</v>
      </c>
      <c r="H410" s="544" t="s">
        <v>3043</v>
      </c>
      <c r="I410" s="528" t="s">
        <v>2656</v>
      </c>
      <c r="J410" s="527" t="s">
        <v>2158</v>
      </c>
      <c r="K410" s="585">
        <v>46250</v>
      </c>
      <c r="L410" s="410" t="s">
        <v>3192</v>
      </c>
      <c r="M410" s="20" t="s">
        <v>52</v>
      </c>
      <c r="N410" s="527"/>
      <c r="O410" s="527"/>
      <c r="P410" s="527" t="s">
        <v>35</v>
      </c>
    </row>
    <row r="411" spans="1:16" s="373" customFormat="1" ht="90.75" customHeight="1" x14ac:dyDescent="0.2">
      <c r="A411" s="3">
        <v>5816</v>
      </c>
      <c r="B411" s="379">
        <v>45870</v>
      </c>
      <c r="C411" s="526" t="s">
        <v>2665</v>
      </c>
      <c r="D411" s="524" t="s">
        <v>2731</v>
      </c>
      <c r="E411" s="525" t="s">
        <v>2666</v>
      </c>
      <c r="F411" s="526" t="s">
        <v>2667</v>
      </c>
      <c r="G411" s="526" t="s">
        <v>38</v>
      </c>
      <c r="H411" s="544"/>
      <c r="I411" s="528" t="s">
        <v>2334</v>
      </c>
      <c r="J411" s="527" t="s">
        <v>429</v>
      </c>
      <c r="K411" s="585">
        <v>46234</v>
      </c>
      <c r="L411" s="545" t="s">
        <v>3163</v>
      </c>
      <c r="M411" s="544" t="s">
        <v>52</v>
      </c>
      <c r="N411" s="527"/>
      <c r="O411" s="17"/>
      <c r="P411" s="17"/>
    </row>
    <row r="412" spans="1:16" ht="36" x14ac:dyDescent="0.25">
      <c r="A412" s="3">
        <v>5817</v>
      </c>
      <c r="B412" s="379">
        <v>45870</v>
      </c>
      <c r="C412" s="526" t="s">
        <v>2668</v>
      </c>
      <c r="D412" s="524" t="s">
        <v>2731</v>
      </c>
      <c r="E412" s="525" t="s">
        <v>2666</v>
      </c>
      <c r="F412" s="526" t="s">
        <v>2669</v>
      </c>
      <c r="G412" s="526" t="s">
        <v>38</v>
      </c>
      <c r="H412" s="544"/>
      <c r="I412" s="528" t="s">
        <v>2294</v>
      </c>
      <c r="J412" s="527" t="s">
        <v>2983</v>
      </c>
      <c r="K412" s="585">
        <v>46234</v>
      </c>
      <c r="L412" s="545" t="s">
        <v>3163</v>
      </c>
      <c r="M412" s="544" t="s">
        <v>52</v>
      </c>
      <c r="N412" s="527"/>
      <c r="O412" s="17"/>
      <c r="P412" s="17"/>
    </row>
    <row r="413" spans="1:16" ht="48" x14ac:dyDescent="0.25">
      <c r="A413" s="3">
        <v>5818</v>
      </c>
      <c r="B413" s="379">
        <v>45870</v>
      </c>
      <c r="C413" s="526" t="s">
        <v>2670</v>
      </c>
      <c r="D413" s="524" t="s">
        <v>2727</v>
      </c>
      <c r="E413" s="525" t="s">
        <v>2671</v>
      </c>
      <c r="F413" s="526" t="s">
        <v>2672</v>
      </c>
      <c r="G413" s="526" t="s">
        <v>2444</v>
      </c>
      <c r="H413" s="544"/>
      <c r="I413" s="528" t="s">
        <v>2563</v>
      </c>
      <c r="J413" s="527" t="s">
        <v>2158</v>
      </c>
      <c r="K413" s="585">
        <v>46231</v>
      </c>
      <c r="L413" s="545" t="s">
        <v>3153</v>
      </c>
      <c r="M413" s="544" t="s">
        <v>52</v>
      </c>
      <c r="N413" s="527"/>
      <c r="O413" s="17"/>
      <c r="P413" s="17"/>
    </row>
    <row r="414" spans="1:16" ht="48" x14ac:dyDescent="0.25">
      <c r="A414" s="3">
        <v>5819</v>
      </c>
      <c r="B414" s="379">
        <v>45962</v>
      </c>
      <c r="C414" s="273" t="s">
        <v>2681</v>
      </c>
      <c r="D414" s="10" t="s">
        <v>2727</v>
      </c>
      <c r="E414" s="189" t="s">
        <v>2679</v>
      </c>
      <c r="F414" s="273" t="s">
        <v>2680</v>
      </c>
      <c r="G414" s="273" t="s">
        <v>2322</v>
      </c>
      <c r="H414" s="20" t="s">
        <v>3005</v>
      </c>
      <c r="I414" s="349" t="s">
        <v>2656</v>
      </c>
      <c r="J414" s="527" t="s">
        <v>678</v>
      </c>
      <c r="K414" s="585">
        <v>46295</v>
      </c>
      <c r="L414" s="545" t="s">
        <v>3166</v>
      </c>
      <c r="M414" s="544" t="s">
        <v>52</v>
      </c>
      <c r="N414" s="17"/>
      <c r="O414" s="17"/>
      <c r="P414" s="17"/>
    </row>
    <row r="415" spans="1:16" ht="48" x14ac:dyDescent="0.25">
      <c r="A415" s="3">
        <v>5820</v>
      </c>
      <c r="B415" s="379">
        <v>45931</v>
      </c>
      <c r="C415" s="273" t="s">
        <v>2694</v>
      </c>
      <c r="D415" s="10" t="s">
        <v>2728</v>
      </c>
      <c r="E415" s="189" t="s">
        <v>2695</v>
      </c>
      <c r="F415" s="273" t="s">
        <v>1840</v>
      </c>
      <c r="G415" s="273" t="s">
        <v>50</v>
      </c>
      <c r="H415" s="20"/>
      <c r="I415" s="349" t="s">
        <v>2656</v>
      </c>
      <c r="J415" s="527" t="s">
        <v>46</v>
      </c>
      <c r="K415" s="585">
        <v>46290</v>
      </c>
      <c r="L415" s="545" t="s">
        <v>2799</v>
      </c>
      <c r="M415" s="544" t="s">
        <v>47</v>
      </c>
      <c r="N415" s="17"/>
      <c r="O415" s="17"/>
      <c r="P415" s="17"/>
    </row>
    <row r="416" spans="1:16" ht="48" customHeight="1" x14ac:dyDescent="0.25">
      <c r="A416" s="3">
        <v>5821</v>
      </c>
      <c r="B416" s="379">
        <v>45901</v>
      </c>
      <c r="C416" s="273" t="s">
        <v>2716</v>
      </c>
      <c r="D416" s="10" t="s">
        <v>2734</v>
      </c>
      <c r="E416" s="189" t="s">
        <v>2717</v>
      </c>
      <c r="F416" s="273" t="s">
        <v>2718</v>
      </c>
      <c r="G416" s="273" t="s">
        <v>2605</v>
      </c>
      <c r="H416" s="20" t="s">
        <v>2937</v>
      </c>
      <c r="I416" s="349" t="s">
        <v>2334</v>
      </c>
      <c r="J416" s="527" t="s">
        <v>678</v>
      </c>
      <c r="K416" s="585">
        <v>46510</v>
      </c>
      <c r="L416" s="545" t="s">
        <v>2825</v>
      </c>
      <c r="M416" s="544"/>
      <c r="N416" s="17"/>
      <c r="O416" s="17"/>
      <c r="P416" s="17"/>
    </row>
    <row r="417" spans="1:35" s="534" customFormat="1" ht="84" x14ac:dyDescent="0.25">
      <c r="A417" s="608">
        <v>5823</v>
      </c>
      <c r="B417" s="612"/>
      <c r="C417" s="615" t="s">
        <v>2791</v>
      </c>
      <c r="D417" s="403" t="s">
        <v>2745</v>
      </c>
      <c r="E417" s="620" t="s">
        <v>1001</v>
      </c>
      <c r="F417" s="176" t="s">
        <v>1001</v>
      </c>
      <c r="G417" s="176" t="s">
        <v>2893</v>
      </c>
      <c r="H417" s="469"/>
      <c r="I417" s="626"/>
      <c r="J417" s="404" t="s">
        <v>34</v>
      </c>
      <c r="K417" s="631">
        <v>46203</v>
      </c>
      <c r="L417" s="404"/>
      <c r="M417" s="469"/>
      <c r="N417" s="404"/>
      <c r="O417" s="404"/>
      <c r="P417" s="404"/>
      <c r="Q417" s="532"/>
      <c r="R417" s="533"/>
      <c r="S417" s="533"/>
      <c r="T417" s="533"/>
      <c r="U417" s="533"/>
      <c r="V417" s="533"/>
      <c r="W417" s="533"/>
      <c r="X417" s="533"/>
      <c r="Y417" s="533"/>
      <c r="Z417" s="533"/>
      <c r="AA417" s="533"/>
      <c r="AB417" s="533"/>
      <c r="AC417" s="533"/>
      <c r="AD417" s="533"/>
      <c r="AE417" s="533"/>
      <c r="AF417" s="533"/>
      <c r="AG417" s="533"/>
      <c r="AH417" s="533"/>
      <c r="AI417" s="533"/>
    </row>
    <row r="418" spans="1:35" s="24" customFormat="1" ht="120" x14ac:dyDescent="0.25">
      <c r="A418" s="303">
        <v>5824</v>
      </c>
      <c r="B418" s="405">
        <v>45931</v>
      </c>
      <c r="C418" s="305" t="s">
        <v>2794</v>
      </c>
      <c r="D418" s="189" t="s">
        <v>2728</v>
      </c>
      <c r="E418" s="189" t="s">
        <v>2795</v>
      </c>
      <c r="F418" s="305" t="s">
        <v>2796</v>
      </c>
      <c r="G418" s="189" t="s">
        <v>2229</v>
      </c>
      <c r="H418" s="408"/>
      <c r="I418" s="17" t="s">
        <v>2385</v>
      </c>
      <c r="J418" s="17" t="s">
        <v>46</v>
      </c>
      <c r="K418" s="579">
        <v>46292</v>
      </c>
      <c r="L418" s="17" t="s">
        <v>2856</v>
      </c>
      <c r="M418" s="349" t="s">
        <v>47</v>
      </c>
      <c r="N418" s="408"/>
      <c r="O418" s="408"/>
      <c r="P418" s="408"/>
    </row>
    <row r="419" spans="1:35" ht="48" x14ac:dyDescent="0.25">
      <c r="A419" s="3">
        <v>5825</v>
      </c>
      <c r="B419" s="26">
        <v>45931</v>
      </c>
      <c r="C419" s="273" t="s">
        <v>2801</v>
      </c>
      <c r="D419" s="189" t="s">
        <v>2726</v>
      </c>
      <c r="E419" s="189" t="s">
        <v>2800</v>
      </c>
      <c r="F419" s="189" t="s">
        <v>332</v>
      </c>
      <c r="G419" s="189" t="s">
        <v>2501</v>
      </c>
      <c r="H419" s="17" t="s">
        <v>2938</v>
      </c>
      <c r="I419" s="17" t="s">
        <v>2374</v>
      </c>
      <c r="J419" s="17" t="s">
        <v>2939</v>
      </c>
      <c r="K419" s="579">
        <v>46227</v>
      </c>
      <c r="L419" s="17"/>
      <c r="M419" s="17"/>
      <c r="N419" s="17"/>
      <c r="O419" s="17"/>
      <c r="P419" s="17"/>
    </row>
    <row r="420" spans="1:35" ht="42.75" customHeight="1" x14ac:dyDescent="0.25">
      <c r="A420" s="3">
        <v>5826</v>
      </c>
      <c r="B420" s="26">
        <v>45901</v>
      </c>
      <c r="C420" s="305" t="s">
        <v>2836</v>
      </c>
      <c r="D420" s="189" t="s">
        <v>2745</v>
      </c>
      <c r="E420" s="189" t="s">
        <v>28</v>
      </c>
      <c r="F420" s="189" t="s">
        <v>28</v>
      </c>
      <c r="G420" s="189" t="s">
        <v>18</v>
      </c>
      <c r="H420" s="17"/>
      <c r="I420" s="17" t="s">
        <v>2835</v>
      </c>
      <c r="J420" s="17" t="s">
        <v>34</v>
      </c>
      <c r="K420" s="579">
        <v>46203</v>
      </c>
      <c r="L420" s="17" t="s">
        <v>3045</v>
      </c>
      <c r="M420" s="349" t="s">
        <v>52</v>
      </c>
      <c r="N420" s="17"/>
      <c r="O420" s="17"/>
      <c r="P420" s="17"/>
    </row>
    <row r="421" spans="1:35" ht="96" x14ac:dyDescent="0.25">
      <c r="A421" s="3">
        <v>5827</v>
      </c>
      <c r="B421" s="26">
        <v>45992</v>
      </c>
      <c r="C421" s="273" t="s">
        <v>2931</v>
      </c>
      <c r="D421" s="189" t="s">
        <v>2726</v>
      </c>
      <c r="E421" s="189" t="s">
        <v>2842</v>
      </c>
      <c r="F421" s="189" t="s">
        <v>2843</v>
      </c>
      <c r="G421" s="189" t="s">
        <v>2290</v>
      </c>
      <c r="H421" s="349" t="s">
        <v>3092</v>
      </c>
      <c r="I421" s="17" t="s">
        <v>2844</v>
      </c>
      <c r="J421" s="17" t="s">
        <v>678</v>
      </c>
      <c r="K421" s="597">
        <v>46344</v>
      </c>
      <c r="L421" s="17" t="s">
        <v>2906</v>
      </c>
      <c r="M421" s="349" t="s">
        <v>47</v>
      </c>
      <c r="N421" s="17"/>
      <c r="O421" s="17"/>
      <c r="P421" s="17"/>
    </row>
    <row r="422" spans="1:35" ht="48.75" customHeight="1" x14ac:dyDescent="0.25">
      <c r="A422" s="3">
        <v>5828</v>
      </c>
      <c r="B422" s="26">
        <v>45992</v>
      </c>
      <c r="C422" s="273" t="s">
        <v>2888</v>
      </c>
      <c r="D422" s="189" t="s">
        <v>2745</v>
      </c>
      <c r="E422" s="189" t="s">
        <v>2889</v>
      </c>
      <c r="F422" s="189">
        <v>24</v>
      </c>
      <c r="G422" s="189" t="s">
        <v>2605</v>
      </c>
      <c r="H422" s="17"/>
      <c r="I422" s="17" t="s">
        <v>2374</v>
      </c>
      <c r="J422" s="527" t="s">
        <v>678</v>
      </c>
      <c r="K422" s="585">
        <v>46507</v>
      </c>
      <c r="L422" s="17"/>
      <c r="M422" s="17"/>
      <c r="N422" s="17"/>
      <c r="O422" s="17"/>
      <c r="P422" s="17"/>
    </row>
    <row r="423" spans="1:35" ht="48.75" customHeight="1" x14ac:dyDescent="0.25">
      <c r="A423" s="303">
        <v>5829</v>
      </c>
      <c r="B423" s="26">
        <v>45962</v>
      </c>
      <c r="C423" s="273" t="s">
        <v>2867</v>
      </c>
      <c r="D423" s="189" t="s">
        <v>2727</v>
      </c>
      <c r="E423" s="189" t="s">
        <v>2868</v>
      </c>
      <c r="F423" s="273" t="s">
        <v>2869</v>
      </c>
      <c r="G423" s="273" t="s">
        <v>2870</v>
      </c>
      <c r="H423" s="17"/>
      <c r="I423" s="17" t="s">
        <v>2871</v>
      </c>
      <c r="J423" s="17" t="s">
        <v>2158</v>
      </c>
      <c r="K423" s="579">
        <v>46357</v>
      </c>
      <c r="L423" s="17"/>
      <c r="M423" s="17"/>
      <c r="N423" s="17"/>
      <c r="O423" s="17"/>
      <c r="P423" s="17"/>
    </row>
    <row r="424" spans="1:35" ht="63.75" customHeight="1" x14ac:dyDescent="0.25">
      <c r="A424" s="303">
        <v>5830</v>
      </c>
      <c r="B424" s="26">
        <v>45962</v>
      </c>
      <c r="C424" s="273" t="s">
        <v>2872</v>
      </c>
      <c r="D424" s="189" t="s">
        <v>2727</v>
      </c>
      <c r="E424" s="189" t="s">
        <v>2868</v>
      </c>
      <c r="F424" s="189" t="s">
        <v>2873</v>
      </c>
      <c r="G424" s="273" t="s">
        <v>2870</v>
      </c>
      <c r="H424" s="17"/>
      <c r="I424" s="17" t="s">
        <v>2871</v>
      </c>
      <c r="J424" s="17" t="s">
        <v>2158</v>
      </c>
      <c r="K424" s="579">
        <v>46357</v>
      </c>
      <c r="L424" s="17"/>
      <c r="M424" s="17"/>
      <c r="N424" s="17"/>
      <c r="O424" s="17"/>
      <c r="P424" s="17"/>
    </row>
    <row r="425" spans="1:35" ht="80.25" customHeight="1" x14ac:dyDescent="0.25">
      <c r="A425" s="303">
        <v>5831</v>
      </c>
      <c r="B425" s="26">
        <v>45962</v>
      </c>
      <c r="C425" s="273" t="s">
        <v>2874</v>
      </c>
      <c r="D425" s="189" t="s">
        <v>2727</v>
      </c>
      <c r="E425" s="189" t="s">
        <v>2868</v>
      </c>
      <c r="F425" s="189" t="s">
        <v>2873</v>
      </c>
      <c r="G425" s="273" t="s">
        <v>2870</v>
      </c>
      <c r="H425" s="17"/>
      <c r="I425" s="17" t="s">
        <v>2871</v>
      </c>
      <c r="J425" s="17" t="s">
        <v>2158</v>
      </c>
      <c r="K425" s="579">
        <v>46357</v>
      </c>
      <c r="L425" s="17"/>
      <c r="M425" s="17"/>
      <c r="N425" s="17"/>
      <c r="O425" s="17"/>
      <c r="P425" s="17"/>
    </row>
    <row r="426" spans="1:35" ht="48" customHeight="1" x14ac:dyDescent="0.25">
      <c r="A426" s="303">
        <v>5832</v>
      </c>
      <c r="B426" s="26">
        <v>45962</v>
      </c>
      <c r="C426" s="273" t="s">
        <v>2875</v>
      </c>
      <c r="D426" s="189" t="s">
        <v>2727</v>
      </c>
      <c r="E426" s="189" t="s">
        <v>2868</v>
      </c>
      <c r="F426" s="189" t="s">
        <v>2873</v>
      </c>
      <c r="G426" s="273" t="s">
        <v>2870</v>
      </c>
      <c r="H426" s="17"/>
      <c r="I426" s="17" t="s">
        <v>2871</v>
      </c>
      <c r="J426" s="17" t="s">
        <v>2158</v>
      </c>
      <c r="K426" s="579">
        <v>46357</v>
      </c>
      <c r="L426" s="17"/>
      <c r="M426" s="17"/>
      <c r="N426" s="17"/>
      <c r="O426" s="17"/>
      <c r="P426" s="17"/>
    </row>
    <row r="427" spans="1:35" ht="102" customHeight="1" x14ac:dyDescent="0.25">
      <c r="A427" s="303">
        <v>5833</v>
      </c>
      <c r="B427" s="26">
        <v>45962</v>
      </c>
      <c r="C427" s="273" t="s">
        <v>2876</v>
      </c>
      <c r="D427" s="189" t="s">
        <v>2727</v>
      </c>
      <c r="E427" s="189" t="s">
        <v>2868</v>
      </c>
      <c r="F427" s="273" t="s">
        <v>2877</v>
      </c>
      <c r="G427" s="273" t="s">
        <v>2870</v>
      </c>
      <c r="H427" s="17"/>
      <c r="I427" s="17" t="s">
        <v>2871</v>
      </c>
      <c r="J427" s="17" t="s">
        <v>2158</v>
      </c>
      <c r="K427" s="579">
        <v>46357</v>
      </c>
      <c r="L427" s="17"/>
      <c r="M427" s="17"/>
      <c r="N427" s="17"/>
      <c r="O427" s="17"/>
      <c r="P427" s="17"/>
    </row>
    <row r="428" spans="1:35" s="24" customFormat="1" ht="48" customHeight="1" x14ac:dyDescent="0.25">
      <c r="A428" s="303">
        <v>5834</v>
      </c>
      <c r="B428" s="26">
        <v>46023</v>
      </c>
      <c r="C428" s="273" t="s">
        <v>2894</v>
      </c>
      <c r="D428" s="189" t="s">
        <v>2727</v>
      </c>
      <c r="E428" s="189" t="s">
        <v>2895</v>
      </c>
      <c r="F428" s="273" t="s">
        <v>2896</v>
      </c>
      <c r="G428" s="189" t="s">
        <v>2229</v>
      </c>
      <c r="H428" s="17"/>
      <c r="I428" s="17" t="s">
        <v>2871</v>
      </c>
      <c r="J428" s="17" t="s">
        <v>2158</v>
      </c>
      <c r="K428" s="579">
        <v>46375</v>
      </c>
      <c r="L428" s="17"/>
      <c r="M428" s="17"/>
      <c r="N428" s="17"/>
      <c r="O428" s="17"/>
      <c r="P428" s="17"/>
    </row>
    <row r="429" spans="1:35" ht="63" customHeight="1" x14ac:dyDescent="0.25">
      <c r="A429" s="303">
        <v>5835</v>
      </c>
      <c r="B429" s="26">
        <v>46023</v>
      </c>
      <c r="C429" s="273" t="s">
        <v>2897</v>
      </c>
      <c r="D429" s="189" t="s">
        <v>2727</v>
      </c>
      <c r="E429" s="189" t="s">
        <v>2895</v>
      </c>
      <c r="F429" s="273" t="s">
        <v>1885</v>
      </c>
      <c r="G429" s="189" t="s">
        <v>2229</v>
      </c>
      <c r="H429" s="17"/>
      <c r="I429" s="17" t="s">
        <v>2871</v>
      </c>
      <c r="J429" s="17" t="s">
        <v>2158</v>
      </c>
      <c r="K429" s="579">
        <v>46375</v>
      </c>
      <c r="L429" s="17"/>
      <c r="M429" s="17"/>
      <c r="N429" s="17"/>
      <c r="O429" s="17"/>
      <c r="P429" s="17"/>
    </row>
    <row r="430" spans="1:35" ht="48.75" customHeight="1" x14ac:dyDescent="0.25">
      <c r="A430" s="303">
        <v>5836</v>
      </c>
      <c r="B430" s="26">
        <v>45962</v>
      </c>
      <c r="C430" s="273" t="s">
        <v>2898</v>
      </c>
      <c r="D430" s="189" t="s">
        <v>2727</v>
      </c>
      <c r="E430" s="189" t="s">
        <v>2895</v>
      </c>
      <c r="F430" s="189" t="s">
        <v>2899</v>
      </c>
      <c r="G430" s="189" t="s">
        <v>2229</v>
      </c>
      <c r="H430" s="17"/>
      <c r="I430" s="17" t="s">
        <v>2871</v>
      </c>
      <c r="J430" s="17" t="s">
        <v>2158</v>
      </c>
      <c r="K430" s="579">
        <v>46375</v>
      </c>
      <c r="L430" s="17"/>
      <c r="M430" s="17"/>
      <c r="N430" s="17"/>
      <c r="O430" s="17"/>
      <c r="P430" s="17"/>
    </row>
    <row r="431" spans="1:35" s="534" customFormat="1" ht="153" customHeight="1" x14ac:dyDescent="0.25">
      <c r="A431" s="521">
        <v>5837</v>
      </c>
      <c r="B431" s="684">
        <v>46082</v>
      </c>
      <c r="C431" s="526" t="s">
        <v>2900</v>
      </c>
      <c r="D431" s="525" t="s">
        <v>2753</v>
      </c>
      <c r="E431" s="525" t="s">
        <v>2901</v>
      </c>
      <c r="F431" s="525" t="s">
        <v>2902</v>
      </c>
      <c r="G431" s="526" t="s">
        <v>2903</v>
      </c>
      <c r="H431" s="526" t="s">
        <v>3104</v>
      </c>
      <c r="I431" s="527" t="s">
        <v>2844</v>
      </c>
      <c r="J431" s="527" t="s">
        <v>3130</v>
      </c>
      <c r="K431" s="585">
        <v>46445</v>
      </c>
      <c r="L431" s="527" t="s">
        <v>2904</v>
      </c>
      <c r="M431" s="528" t="s">
        <v>47</v>
      </c>
      <c r="N431" s="527"/>
      <c r="O431" s="527"/>
      <c r="P431" s="527"/>
    </row>
    <row r="432" spans="1:35" s="687" customFormat="1" ht="65.25" customHeight="1" x14ac:dyDescent="0.25">
      <c r="A432" s="523">
        <v>5838</v>
      </c>
      <c r="B432" s="685">
        <v>46023</v>
      </c>
      <c r="C432" s="526" t="s">
        <v>2956</v>
      </c>
      <c r="D432" s="526" t="s">
        <v>2957</v>
      </c>
      <c r="E432" s="526" t="s">
        <v>2958</v>
      </c>
      <c r="F432" s="526" t="s">
        <v>98</v>
      </c>
      <c r="G432" s="526" t="s">
        <v>2959</v>
      </c>
      <c r="H432" s="526" t="s">
        <v>2998</v>
      </c>
      <c r="I432" s="526" t="s">
        <v>2374</v>
      </c>
      <c r="J432" s="526" t="s">
        <v>46</v>
      </c>
      <c r="K432" s="686">
        <v>46296</v>
      </c>
      <c r="L432" s="526"/>
      <c r="M432" s="526"/>
      <c r="N432" s="526"/>
      <c r="O432" s="526"/>
      <c r="P432" s="526"/>
    </row>
    <row r="433" spans="1:16" s="534" customFormat="1" ht="63" customHeight="1" x14ac:dyDescent="0.25">
      <c r="A433" s="521">
        <v>5839</v>
      </c>
      <c r="B433" s="684">
        <v>46023</v>
      </c>
      <c r="C433" s="526" t="s">
        <v>2927</v>
      </c>
      <c r="D433" s="525" t="s">
        <v>2739</v>
      </c>
      <c r="E433" s="525" t="s">
        <v>2928</v>
      </c>
      <c r="F433" s="525" t="s">
        <v>2929</v>
      </c>
      <c r="G433" s="525" t="s">
        <v>2501</v>
      </c>
      <c r="H433" s="527"/>
      <c r="I433" s="527" t="s">
        <v>2656</v>
      </c>
      <c r="J433" s="527" t="s">
        <v>2158</v>
      </c>
      <c r="K433" s="585">
        <v>46361</v>
      </c>
      <c r="L433" s="527"/>
      <c r="M433" s="527"/>
      <c r="N433" s="527"/>
      <c r="O433" s="527"/>
      <c r="P433" s="527"/>
    </row>
    <row r="434" spans="1:16" s="690" customFormat="1" ht="47.25" customHeight="1" x14ac:dyDescent="0.25">
      <c r="A434" s="521">
        <v>5840</v>
      </c>
      <c r="B434" s="684">
        <v>46113</v>
      </c>
      <c r="C434" s="526" t="s">
        <v>3083</v>
      </c>
      <c r="D434" s="525" t="s">
        <v>2986</v>
      </c>
      <c r="E434" s="526" t="s">
        <v>2987</v>
      </c>
      <c r="F434" s="526" t="s">
        <v>2988</v>
      </c>
      <c r="G434" s="563" t="s">
        <v>131</v>
      </c>
      <c r="H434" s="528" t="s">
        <v>3067</v>
      </c>
      <c r="I434" s="527" t="s">
        <v>2318</v>
      </c>
      <c r="J434" s="688" t="s">
        <v>678</v>
      </c>
      <c r="K434" s="689">
        <v>46441</v>
      </c>
      <c r="L434" s="528" t="s">
        <v>3051</v>
      </c>
      <c r="M434" s="528" t="s">
        <v>47</v>
      </c>
      <c r="N434" s="527"/>
      <c r="O434" s="527"/>
      <c r="P434" s="527"/>
    </row>
    <row r="435" spans="1:16" s="520" customFormat="1" ht="36" x14ac:dyDescent="0.2">
      <c r="A435" s="521">
        <v>5841</v>
      </c>
      <c r="B435" s="684" t="s">
        <v>2989</v>
      </c>
      <c r="C435" s="526" t="s">
        <v>2992</v>
      </c>
      <c r="D435" s="525" t="s">
        <v>2990</v>
      </c>
      <c r="E435" s="526" t="s">
        <v>2991</v>
      </c>
      <c r="F435" s="526" t="s">
        <v>3030</v>
      </c>
      <c r="G435" s="563" t="s">
        <v>2229</v>
      </c>
      <c r="H435" s="527"/>
      <c r="I435" s="527" t="s">
        <v>2514</v>
      </c>
      <c r="J435" s="527" t="s">
        <v>678</v>
      </c>
      <c r="K435" s="585">
        <v>46459</v>
      </c>
      <c r="L435" s="527" t="s">
        <v>3026</v>
      </c>
      <c r="M435" s="528" t="s">
        <v>47</v>
      </c>
      <c r="N435" s="527"/>
      <c r="O435" s="527"/>
      <c r="P435" s="527"/>
    </row>
    <row r="436" spans="1:16" s="520" customFormat="1" ht="48" x14ac:dyDescent="0.2">
      <c r="A436" s="691">
        <v>5842</v>
      </c>
      <c r="B436" s="692">
        <v>46054</v>
      </c>
      <c r="C436" s="693" t="s">
        <v>3002</v>
      </c>
      <c r="D436" s="694" t="s">
        <v>2739</v>
      </c>
      <c r="E436" s="694" t="s">
        <v>3003</v>
      </c>
      <c r="F436" s="694" t="s">
        <v>3004</v>
      </c>
      <c r="G436" s="694" t="s">
        <v>1909</v>
      </c>
      <c r="H436" s="695" t="s">
        <v>3151</v>
      </c>
      <c r="I436" s="695" t="s">
        <v>2374</v>
      </c>
      <c r="J436" s="688" t="s">
        <v>678</v>
      </c>
      <c r="K436" s="696" t="s">
        <v>3110</v>
      </c>
      <c r="L436" s="688" t="s">
        <v>2918</v>
      </c>
      <c r="M436" s="528" t="s">
        <v>47</v>
      </c>
      <c r="N436" s="697"/>
      <c r="O436" s="697"/>
      <c r="P436" s="697"/>
    </row>
    <row r="437" spans="1:16" s="520" customFormat="1" ht="56.25" customHeight="1" x14ac:dyDescent="0.2">
      <c r="A437" s="691">
        <v>5843</v>
      </c>
      <c r="B437" s="692">
        <v>46113</v>
      </c>
      <c r="C437" s="693" t="s">
        <v>3031</v>
      </c>
      <c r="D437" s="694" t="s">
        <v>2753</v>
      </c>
      <c r="E437" s="694" t="s">
        <v>3032</v>
      </c>
      <c r="F437" s="694" t="s">
        <v>3071</v>
      </c>
      <c r="G437" s="694" t="s">
        <v>2501</v>
      </c>
      <c r="H437" s="695" t="s">
        <v>3109</v>
      </c>
      <c r="I437" s="695" t="s">
        <v>2374</v>
      </c>
      <c r="J437" s="688" t="s">
        <v>678</v>
      </c>
      <c r="K437" s="696" t="s">
        <v>3063</v>
      </c>
      <c r="L437" s="688"/>
      <c r="M437" s="528"/>
      <c r="N437" s="697"/>
      <c r="O437" s="697"/>
      <c r="P437" s="697"/>
    </row>
    <row r="438" spans="1:16" s="520" customFormat="1" ht="66" customHeight="1" x14ac:dyDescent="0.2">
      <c r="A438" s="691">
        <v>5844</v>
      </c>
      <c r="B438" s="692">
        <v>46204</v>
      </c>
      <c r="C438" s="693" t="s">
        <v>3140</v>
      </c>
      <c r="D438" s="694" t="s">
        <v>2990</v>
      </c>
      <c r="E438" s="694" t="s">
        <v>3060</v>
      </c>
      <c r="F438" s="694" t="s">
        <v>115</v>
      </c>
      <c r="G438" s="694" t="s">
        <v>189</v>
      </c>
      <c r="H438" s="695" t="s">
        <v>3221</v>
      </c>
      <c r="I438" s="695" t="s">
        <v>2374</v>
      </c>
      <c r="J438" s="936" t="s">
        <v>678</v>
      </c>
      <c r="K438" s="937">
        <v>46549</v>
      </c>
      <c r="L438" s="688" t="s">
        <v>2917</v>
      </c>
      <c r="M438" s="528" t="s">
        <v>47</v>
      </c>
      <c r="N438" s="697"/>
      <c r="O438" s="697"/>
      <c r="P438" s="697"/>
    </row>
    <row r="439" spans="1:16" s="703" customFormat="1" ht="69.75" customHeight="1" x14ac:dyDescent="0.25">
      <c r="A439" s="639">
        <v>5845</v>
      </c>
      <c r="B439" s="698">
        <v>46143</v>
      </c>
      <c r="C439" s="699" t="s">
        <v>3100</v>
      </c>
      <c r="D439" s="700" t="s">
        <v>2727</v>
      </c>
      <c r="E439" s="700" t="s">
        <v>3079</v>
      </c>
      <c r="F439" s="701" t="s">
        <v>3080</v>
      </c>
      <c r="G439" s="700" t="s">
        <v>1909</v>
      </c>
      <c r="H439" s="702"/>
      <c r="I439" s="702"/>
      <c r="J439" s="688" t="s">
        <v>678</v>
      </c>
      <c r="K439" s="696" t="s">
        <v>3144</v>
      </c>
      <c r="L439" s="847" t="s">
        <v>3163</v>
      </c>
      <c r="M439" s="640" t="s">
        <v>26</v>
      </c>
      <c r="N439" s="702"/>
      <c r="O439" s="702"/>
      <c r="P439" s="702"/>
    </row>
    <row r="440" spans="1:16" s="710" customFormat="1" ht="60" customHeight="1" x14ac:dyDescent="0.25">
      <c r="A440" s="704">
        <v>5846</v>
      </c>
      <c r="B440" s="705">
        <v>46113</v>
      </c>
      <c r="C440" s="706" t="s">
        <v>3099</v>
      </c>
      <c r="D440" s="707" t="s">
        <v>2757</v>
      </c>
      <c r="E440" s="708" t="s">
        <v>3101</v>
      </c>
      <c r="F440" s="709" t="s">
        <v>3102</v>
      </c>
      <c r="G440" s="641" t="s">
        <v>80</v>
      </c>
      <c r="H440" s="710" t="s">
        <v>3129</v>
      </c>
      <c r="I440" s="711" t="s">
        <v>3103</v>
      </c>
      <c r="J440" s="711" t="s">
        <v>2158</v>
      </c>
      <c r="K440" s="712">
        <v>46473</v>
      </c>
      <c r="L440" s="710" t="s">
        <v>3113</v>
      </c>
      <c r="M440" s="528" t="s">
        <v>47</v>
      </c>
      <c r="N440" s="713"/>
      <c r="O440" s="713"/>
      <c r="P440" s="713"/>
    </row>
    <row r="441" spans="1:16" s="713" customFormat="1" ht="51" customHeight="1" x14ac:dyDescent="0.25">
      <c r="A441" s="714">
        <v>5847</v>
      </c>
      <c r="B441" s="698">
        <v>46113</v>
      </c>
      <c r="C441" s="699" t="s">
        <v>3106</v>
      </c>
      <c r="D441" s="700" t="s">
        <v>2725</v>
      </c>
      <c r="E441" s="700" t="s">
        <v>3107</v>
      </c>
      <c r="F441" s="700" t="s">
        <v>2873</v>
      </c>
      <c r="G441" s="700" t="s">
        <v>18</v>
      </c>
      <c r="I441" s="715" t="s">
        <v>3108</v>
      </c>
    </row>
    <row r="442" spans="1:16" s="713" customFormat="1" ht="154.5" customHeight="1" x14ac:dyDescent="0.25">
      <c r="A442" s="714">
        <v>5848</v>
      </c>
      <c r="B442" s="698">
        <v>46174</v>
      </c>
      <c r="C442" s="699" t="s">
        <v>3146</v>
      </c>
      <c r="D442" s="700" t="s">
        <v>2727</v>
      </c>
      <c r="E442" s="700" t="s">
        <v>3124</v>
      </c>
      <c r="F442" s="701" t="s">
        <v>3125</v>
      </c>
      <c r="G442" s="700" t="s">
        <v>2926</v>
      </c>
      <c r="I442" s="715" t="s">
        <v>2231</v>
      </c>
      <c r="J442" s="711" t="s">
        <v>678</v>
      </c>
      <c r="K442" s="712">
        <v>46498</v>
      </c>
      <c r="L442" s="711" t="s">
        <v>3181</v>
      </c>
      <c r="M442" s="715" t="s">
        <v>47</v>
      </c>
    </row>
    <row r="443" spans="1:16" s="710" customFormat="1" ht="107.25" customHeight="1" x14ac:dyDescent="0.25">
      <c r="A443" s="639">
        <v>5849</v>
      </c>
      <c r="B443" s="705">
        <v>46174</v>
      </c>
      <c r="C443" s="716" t="s">
        <v>3145</v>
      </c>
      <c r="D443" s="700" t="s">
        <v>2727</v>
      </c>
      <c r="E443" s="700" t="s">
        <v>3124</v>
      </c>
      <c r="F443" s="709" t="s">
        <v>3126</v>
      </c>
      <c r="G443" s="700" t="s">
        <v>2926</v>
      </c>
      <c r="H443" s="713"/>
      <c r="I443" s="715" t="s">
        <v>2231</v>
      </c>
      <c r="J443" s="853" t="s">
        <v>678</v>
      </c>
      <c r="K443" s="856">
        <v>46498</v>
      </c>
      <c r="L443" s="711" t="s">
        <v>3181</v>
      </c>
      <c r="M443" s="715" t="s">
        <v>47</v>
      </c>
      <c r="N443" s="713"/>
      <c r="O443" s="713"/>
      <c r="P443" s="713"/>
    </row>
    <row r="444" spans="1:16" s="437" customFormat="1" ht="107.25" customHeight="1" x14ac:dyDescent="0.25">
      <c r="A444" s="857">
        <v>5850</v>
      </c>
      <c r="B444" s="858">
        <v>46204</v>
      </c>
      <c r="C444" s="859" t="s">
        <v>3201</v>
      </c>
      <c r="D444" s="860" t="s">
        <v>2726</v>
      </c>
      <c r="E444" s="860" t="s">
        <v>3138</v>
      </c>
      <c r="F444" s="861" t="s">
        <v>3139</v>
      </c>
      <c r="G444" s="860" t="s">
        <v>116</v>
      </c>
      <c r="H444" s="862"/>
      <c r="I444" s="863" t="s">
        <v>2374</v>
      </c>
      <c r="J444" s="864" t="s">
        <v>678</v>
      </c>
      <c r="K444" s="865">
        <v>46536</v>
      </c>
      <c r="L444" s="906" t="s">
        <v>3132</v>
      </c>
      <c r="M444" s="715" t="s">
        <v>47</v>
      </c>
      <c r="N444" s="862"/>
      <c r="O444" s="862"/>
      <c r="P444" s="862"/>
    </row>
    <row r="445" spans="1:16" s="710" customFormat="1" ht="107.25" customHeight="1" x14ac:dyDescent="0.25">
      <c r="A445" s="639">
        <v>5851</v>
      </c>
      <c r="B445" s="705">
        <v>46174</v>
      </c>
      <c r="C445" s="716" t="s">
        <v>3147</v>
      </c>
      <c r="D445" s="700" t="s">
        <v>2726</v>
      </c>
      <c r="E445" s="700" t="s">
        <v>3148</v>
      </c>
      <c r="F445" s="709" t="s">
        <v>630</v>
      </c>
      <c r="G445" s="700" t="s">
        <v>2322</v>
      </c>
      <c r="H445" s="713"/>
      <c r="I445" s="715" t="s">
        <v>2374</v>
      </c>
      <c r="J445" s="854"/>
      <c r="K445" s="854"/>
      <c r="L445" s="713"/>
      <c r="M445" s="713"/>
      <c r="N445" s="713"/>
      <c r="O445" s="713"/>
      <c r="P445" s="713"/>
    </row>
    <row r="446" spans="1:16" s="710" customFormat="1" ht="107.25" customHeight="1" x14ac:dyDescent="0.25">
      <c r="A446" s="639">
        <v>5852</v>
      </c>
      <c r="B446" s="705">
        <v>46235</v>
      </c>
      <c r="C446" s="716" t="s">
        <v>3161</v>
      </c>
      <c r="D446" s="700" t="s">
        <v>2727</v>
      </c>
      <c r="E446" s="700" t="s">
        <v>3159</v>
      </c>
      <c r="F446" s="709" t="s">
        <v>3160</v>
      </c>
      <c r="G446" s="700" t="s">
        <v>116</v>
      </c>
      <c r="H446" s="713"/>
      <c r="I446" s="715" t="s">
        <v>2374</v>
      </c>
      <c r="J446" s="713"/>
      <c r="K446" s="713"/>
      <c r="L446" s="713"/>
      <c r="M446" s="713"/>
      <c r="N446" s="713"/>
      <c r="O446" s="713"/>
      <c r="P446" s="713"/>
    </row>
    <row r="447" spans="1:16" s="710" customFormat="1" ht="107.25" customHeight="1" x14ac:dyDescent="0.25">
      <c r="A447" s="639">
        <v>5853</v>
      </c>
      <c r="B447" s="705">
        <v>46174</v>
      </c>
      <c r="C447" s="716" t="s">
        <v>3187</v>
      </c>
      <c r="D447" s="700" t="s">
        <v>3189</v>
      </c>
      <c r="E447" s="700" t="s">
        <v>3188</v>
      </c>
      <c r="F447" s="709" t="s">
        <v>1066</v>
      </c>
      <c r="G447" s="700" t="s">
        <v>351</v>
      </c>
      <c r="H447" s="713"/>
      <c r="I447" s="715" t="s">
        <v>3190</v>
      </c>
      <c r="J447" s="713"/>
      <c r="K447" s="713"/>
      <c r="L447" s="713"/>
      <c r="M447" s="713"/>
      <c r="N447" s="713"/>
      <c r="O447" s="713"/>
      <c r="P447" s="713"/>
    </row>
    <row r="448" spans="1:16" s="959" customFormat="1" ht="107.25" customHeight="1" x14ac:dyDescent="0.25">
      <c r="A448" s="952">
        <v>5856</v>
      </c>
      <c r="B448" s="953">
        <v>45931</v>
      </c>
      <c r="C448" s="954" t="s">
        <v>3232</v>
      </c>
      <c r="D448" s="955" t="s">
        <v>2726</v>
      </c>
      <c r="E448" s="955" t="s">
        <v>1001</v>
      </c>
      <c r="F448" s="956" t="s">
        <v>1001</v>
      </c>
      <c r="G448" s="955" t="s">
        <v>2290</v>
      </c>
      <c r="H448" s="957"/>
      <c r="I448" s="958"/>
      <c r="J448" s="957"/>
      <c r="K448" s="957"/>
      <c r="L448" s="957"/>
      <c r="M448" s="957"/>
      <c r="N448" s="957"/>
      <c r="O448" s="957"/>
      <c r="P448" s="957"/>
    </row>
  </sheetData>
  <customSheetViews>
    <customSheetView guid="{02D9BE9C-2C8F-451C-9BC4-65A28BBECA1E}" scale="80" hiddenColumns="1" topLeftCell="A256">
      <selection activeCell="G258" sqref="G258"/>
      <pageMargins left="0.7" right="0.7" top="0.75" bottom="0.75" header="0.3" footer="0.3"/>
      <pageSetup orientation="portrait" horizontalDpi="300" verticalDpi="300" r:id="rId1"/>
    </customSheetView>
    <customSheetView guid="{48259BF3-62F5-440A-8886-4420B7555946}" hiddenColumns="1" topLeftCell="A363">
      <selection activeCell="B364" sqref="B364"/>
      <pageMargins left="0.7" right="0.7" top="0.75" bottom="0.75" header="0.3" footer="0.3"/>
      <pageSetup orientation="portrait" horizontalDpi="300" verticalDpi="300" r:id="rId2"/>
    </customSheetView>
    <customSheetView guid="{AAFB2EC0-D5A8-4D22-9ECE-29784D5FA584}" showPageBreaks="1" topLeftCell="A314">
      <selection activeCell="A316" sqref="A316"/>
      <pageMargins left="0.7" right="0.7" top="0.75" bottom="0.75" header="0.3" footer="0.3"/>
      <pageSetup orientation="portrait" horizontalDpi="300" verticalDpi="300" r:id="rId3"/>
    </customSheetView>
    <customSheetView guid="{D7E4B667-2A76-498E-BF2E-A393F17EAA25}" showPageBreaks="1" topLeftCell="A220">
      <selection activeCell="J223" sqref="J223"/>
      <pageMargins left="0.7" right="0.7" top="0.75" bottom="0.75" header="0.3" footer="0.3"/>
      <pageSetup orientation="portrait" horizontalDpi="300" verticalDpi="300" r:id="rId4"/>
    </customSheetView>
  </customSheetViews>
  <mergeCells count="2">
    <mergeCell ref="A1:M1"/>
    <mergeCell ref="A2:M2"/>
  </mergeCells>
  <phoneticPr fontId="73" type="noConversion"/>
  <pageMargins left="0.7" right="0.7" top="0.75" bottom="0.75" header="0.3" footer="0.3"/>
  <pageSetup orientation="portrait" horizontalDpi="300" verticalDpi="300"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C37B-8B6C-42E6-B0A6-423CFB18CE19}">
  <dimension ref="A1:V321"/>
  <sheetViews>
    <sheetView topLeftCell="A317" workbookViewId="0">
      <selection activeCell="A321" sqref="A321:XFD321"/>
    </sheetView>
  </sheetViews>
  <sheetFormatPr defaultColWidth="9.140625" defaultRowHeight="15" x14ac:dyDescent="0.25"/>
  <cols>
    <col min="1" max="1" width="31.7109375" customWidth="1"/>
    <col min="2" max="2" width="21.85546875" customWidth="1"/>
    <col min="3" max="3" width="35.42578125" customWidth="1"/>
    <col min="4" max="4" width="18" style="32" customWidth="1"/>
    <col min="5" max="5" width="17.42578125" customWidth="1"/>
    <col min="6" max="6" width="22.5703125" customWidth="1"/>
    <col min="7" max="7" width="24" customWidth="1"/>
    <col min="8" max="8" width="46.28515625" customWidth="1"/>
    <col min="9" max="9" width="23.28515625" bestFit="1" customWidth="1"/>
    <col min="10" max="10" width="20.42578125" customWidth="1"/>
    <col min="11" max="12" width="29.85546875" bestFit="1" customWidth="1"/>
    <col min="13" max="13" width="29.28515625" bestFit="1" customWidth="1"/>
    <col min="14" max="15" width="9.42578125" bestFit="1" customWidth="1"/>
    <col min="16" max="16" width="17" bestFit="1" customWidth="1"/>
    <col min="17" max="17" width="12.42578125" bestFit="1" customWidth="1"/>
    <col min="18" max="18" width="15.42578125" customWidth="1"/>
    <col min="19" max="19" width="25.42578125" customWidth="1"/>
    <col min="20" max="20" width="9.42578125" bestFit="1" customWidth="1"/>
    <col min="21" max="21" width="10.7109375" bestFit="1" customWidth="1"/>
    <col min="22" max="22" width="9.42578125" bestFit="1" customWidth="1"/>
  </cols>
  <sheetData>
    <row r="1" spans="1:19" ht="45" x14ac:dyDescent="0.25">
      <c r="A1" s="34" t="s">
        <v>0</v>
      </c>
      <c r="B1" s="34" t="s">
        <v>1</v>
      </c>
      <c r="C1" s="34" t="s">
        <v>2</v>
      </c>
      <c r="D1" s="34" t="s">
        <v>2724</v>
      </c>
      <c r="E1" s="35" t="s">
        <v>3</v>
      </c>
      <c r="F1" s="35" t="s">
        <v>4</v>
      </c>
      <c r="G1" s="34" t="s">
        <v>5</v>
      </c>
      <c r="H1" s="35" t="s">
        <v>6</v>
      </c>
      <c r="I1" s="35" t="s">
        <v>8</v>
      </c>
      <c r="J1" s="35" t="s">
        <v>996</v>
      </c>
      <c r="K1" s="35" t="s">
        <v>10</v>
      </c>
      <c r="L1" s="35" t="s">
        <v>11</v>
      </c>
      <c r="M1" s="36" t="s">
        <v>12</v>
      </c>
      <c r="N1" s="35" t="s">
        <v>13</v>
      </c>
      <c r="O1" s="35" t="s">
        <v>14</v>
      </c>
      <c r="P1" s="35" t="s">
        <v>997</v>
      </c>
      <c r="Q1" s="35" t="s">
        <v>998</v>
      </c>
      <c r="R1" s="34"/>
      <c r="S1" s="34"/>
    </row>
    <row r="2" spans="1:19" x14ac:dyDescent="0.25">
      <c r="A2" s="37">
        <v>5002</v>
      </c>
      <c r="B2" s="37"/>
      <c r="C2" s="37" t="s">
        <v>999</v>
      </c>
      <c r="D2" s="11"/>
      <c r="E2" s="38" t="s">
        <v>1000</v>
      </c>
      <c r="F2" s="39"/>
      <c r="G2" s="40" t="s">
        <v>1001</v>
      </c>
      <c r="H2" s="41"/>
      <c r="I2" s="41"/>
      <c r="J2" s="41"/>
      <c r="K2" s="41"/>
      <c r="L2" s="41"/>
      <c r="M2" s="41"/>
      <c r="N2" s="41"/>
      <c r="O2" s="41"/>
      <c r="P2" s="41"/>
      <c r="Q2" s="41"/>
      <c r="R2" s="40" t="s">
        <v>1001</v>
      </c>
      <c r="S2" s="39" t="s">
        <v>1002</v>
      </c>
    </row>
    <row r="3" spans="1:19" x14ac:dyDescent="0.25">
      <c r="A3" s="37">
        <v>5005</v>
      </c>
      <c r="B3" s="37"/>
      <c r="C3" s="37" t="s">
        <v>1003</v>
      </c>
      <c r="D3" s="11"/>
      <c r="E3" s="38" t="s">
        <v>1004</v>
      </c>
      <c r="F3" s="39"/>
      <c r="G3" s="40" t="s">
        <v>1001</v>
      </c>
      <c r="H3" s="41"/>
      <c r="I3" s="41"/>
      <c r="J3" s="41"/>
      <c r="K3" s="41"/>
      <c r="L3" s="41"/>
      <c r="M3" s="41"/>
      <c r="N3" s="41"/>
      <c r="O3" s="41"/>
      <c r="P3" s="41"/>
      <c r="Q3" s="41"/>
      <c r="R3" s="40" t="s">
        <v>1001</v>
      </c>
      <c r="S3" s="39" t="s">
        <v>1002</v>
      </c>
    </row>
    <row r="4" spans="1:19" ht="90" x14ac:dyDescent="0.25">
      <c r="A4" s="37">
        <v>5007</v>
      </c>
      <c r="B4" s="37"/>
      <c r="C4" s="37" t="s">
        <v>1005</v>
      </c>
      <c r="D4" s="11"/>
      <c r="E4" s="38" t="s">
        <v>1006</v>
      </c>
      <c r="F4" s="39"/>
      <c r="G4" s="40">
        <v>40169</v>
      </c>
      <c r="H4" s="41"/>
      <c r="I4" s="41"/>
      <c r="J4" s="41"/>
      <c r="K4" s="41"/>
      <c r="L4" s="41"/>
      <c r="M4" s="41"/>
      <c r="N4" s="41"/>
      <c r="O4" s="41"/>
      <c r="P4" s="41"/>
      <c r="Q4" s="41"/>
      <c r="R4" s="40">
        <v>40169</v>
      </c>
      <c r="S4" s="39" t="s">
        <v>1007</v>
      </c>
    </row>
    <row r="5" spans="1:19" ht="75" x14ac:dyDescent="0.25">
      <c r="A5" s="37">
        <v>5010</v>
      </c>
      <c r="B5" s="37"/>
      <c r="C5" s="37" t="s">
        <v>1008</v>
      </c>
      <c r="D5" s="11"/>
      <c r="E5" s="38" t="s">
        <v>1009</v>
      </c>
      <c r="F5" s="39"/>
      <c r="G5" s="40">
        <v>38990</v>
      </c>
      <c r="H5" s="41"/>
      <c r="I5" s="41"/>
      <c r="J5" s="41"/>
      <c r="K5" s="41"/>
      <c r="L5" s="41"/>
      <c r="M5" s="41"/>
      <c r="N5" s="41"/>
      <c r="O5" s="41"/>
      <c r="P5" s="41"/>
      <c r="Q5" s="41"/>
      <c r="R5" s="40">
        <v>38990</v>
      </c>
      <c r="S5" s="39" t="s">
        <v>1010</v>
      </c>
    </row>
    <row r="6" spans="1:19" ht="30" x14ac:dyDescent="0.25">
      <c r="A6" s="37">
        <v>5011</v>
      </c>
      <c r="B6" s="37"/>
      <c r="C6" s="37" t="s">
        <v>1011</v>
      </c>
      <c r="D6" s="11"/>
      <c r="E6" s="38" t="s">
        <v>1012</v>
      </c>
      <c r="F6" s="39"/>
      <c r="G6" s="40">
        <v>39021</v>
      </c>
      <c r="H6" s="41"/>
      <c r="I6" s="41"/>
      <c r="J6" s="41"/>
      <c r="K6" s="41"/>
      <c r="L6" s="41"/>
      <c r="M6" s="41"/>
      <c r="N6" s="41"/>
      <c r="O6" s="41"/>
      <c r="P6" s="41"/>
      <c r="Q6" s="41"/>
      <c r="R6" s="40">
        <v>39021</v>
      </c>
      <c r="S6" s="39" t="s">
        <v>1013</v>
      </c>
    </row>
    <row r="7" spans="1:19" x14ac:dyDescent="0.25">
      <c r="A7" s="37">
        <v>5012</v>
      </c>
      <c r="B7" s="37"/>
      <c r="C7" s="37" t="s">
        <v>1014</v>
      </c>
      <c r="D7" s="11"/>
      <c r="E7" s="37" t="s">
        <v>1015</v>
      </c>
      <c r="F7" s="39"/>
      <c r="G7" s="40">
        <v>38807</v>
      </c>
      <c r="H7" s="41"/>
      <c r="I7" s="41"/>
      <c r="J7" s="41"/>
      <c r="K7" s="41"/>
      <c r="L7" s="41"/>
      <c r="M7" s="41"/>
      <c r="N7" s="41"/>
      <c r="O7" s="41"/>
      <c r="P7" s="41"/>
      <c r="Q7" s="41"/>
      <c r="R7" s="40">
        <v>38807</v>
      </c>
      <c r="S7" s="39" t="s">
        <v>1016</v>
      </c>
    </row>
    <row r="8" spans="1:19" ht="30" x14ac:dyDescent="0.25">
      <c r="A8" s="37">
        <v>5013</v>
      </c>
      <c r="B8" s="37"/>
      <c r="C8" s="37" t="s">
        <v>1017</v>
      </c>
      <c r="D8" s="11"/>
      <c r="E8" s="37" t="s">
        <v>1018</v>
      </c>
      <c r="F8" s="39"/>
      <c r="G8" s="40">
        <v>38808</v>
      </c>
      <c r="H8" s="41"/>
      <c r="I8" s="41"/>
      <c r="J8" s="41"/>
      <c r="K8" s="41"/>
      <c r="L8" s="41"/>
      <c r="M8" s="41"/>
      <c r="N8" s="41"/>
      <c r="O8" s="41"/>
      <c r="P8" s="41"/>
      <c r="Q8" s="41"/>
      <c r="R8" s="40">
        <v>38808</v>
      </c>
      <c r="S8" s="39" t="s">
        <v>1013</v>
      </c>
    </row>
    <row r="9" spans="1:19" ht="30" x14ac:dyDescent="0.25">
      <c r="A9" s="37">
        <v>5014</v>
      </c>
      <c r="B9" s="37"/>
      <c r="C9" s="37" t="s">
        <v>1019</v>
      </c>
      <c r="D9" s="11"/>
      <c r="E9" s="37" t="s">
        <v>1020</v>
      </c>
      <c r="F9" s="39"/>
      <c r="G9" s="40">
        <v>38203</v>
      </c>
      <c r="H9" s="41"/>
      <c r="I9" s="41"/>
      <c r="J9" s="41"/>
      <c r="K9" s="41"/>
      <c r="L9" s="41"/>
      <c r="M9" s="41"/>
      <c r="N9" s="41"/>
      <c r="O9" s="41"/>
      <c r="P9" s="41"/>
      <c r="Q9" s="41"/>
      <c r="R9" s="40">
        <v>38203</v>
      </c>
      <c r="S9" s="39" t="s">
        <v>1021</v>
      </c>
    </row>
    <row r="10" spans="1:19" ht="90" x14ac:dyDescent="0.25">
      <c r="A10" s="37">
        <v>5019</v>
      </c>
      <c r="B10" s="37"/>
      <c r="C10" s="37" t="s">
        <v>1022</v>
      </c>
      <c r="D10" s="11"/>
      <c r="E10" s="37" t="s">
        <v>1023</v>
      </c>
      <c r="F10" s="39"/>
      <c r="G10" s="40">
        <v>38837</v>
      </c>
      <c r="H10" s="41"/>
      <c r="I10" s="41"/>
      <c r="J10" s="41"/>
      <c r="K10" s="41"/>
      <c r="L10" s="41"/>
      <c r="M10" s="41"/>
      <c r="N10" s="41"/>
      <c r="O10" s="41"/>
      <c r="P10" s="41"/>
      <c r="Q10" s="41"/>
      <c r="R10" s="40">
        <v>38837</v>
      </c>
      <c r="S10" s="39" t="s">
        <v>1024</v>
      </c>
    </row>
    <row r="11" spans="1:19" x14ac:dyDescent="0.25">
      <c r="A11" s="37">
        <v>5020</v>
      </c>
      <c r="B11" s="37"/>
      <c r="C11" s="37" t="s">
        <v>1025</v>
      </c>
      <c r="D11" s="11"/>
      <c r="E11" s="37" t="s">
        <v>1026</v>
      </c>
      <c r="F11" s="39"/>
      <c r="G11" s="40">
        <v>36799</v>
      </c>
      <c r="H11" s="41"/>
      <c r="I11" s="41"/>
      <c r="J11" s="41"/>
      <c r="K11" s="41"/>
      <c r="L11" s="41"/>
      <c r="M11" s="41"/>
      <c r="N11" s="41"/>
      <c r="O11" s="41"/>
      <c r="P11" s="41"/>
      <c r="Q11" s="41"/>
      <c r="R11" s="40">
        <v>36799</v>
      </c>
      <c r="S11" s="39" t="s">
        <v>1027</v>
      </c>
    </row>
    <row r="12" spans="1:19" x14ac:dyDescent="0.25">
      <c r="A12" s="37">
        <v>5023</v>
      </c>
      <c r="B12" s="37"/>
      <c r="C12" s="37" t="s">
        <v>1028</v>
      </c>
      <c r="D12" s="11"/>
      <c r="E12" s="37" t="s">
        <v>1029</v>
      </c>
      <c r="F12" s="39"/>
      <c r="G12" s="40">
        <v>36739</v>
      </c>
      <c r="H12" s="41"/>
      <c r="I12" s="41"/>
      <c r="J12" s="41"/>
      <c r="K12" s="41"/>
      <c r="L12" s="41"/>
      <c r="M12" s="41"/>
      <c r="N12" s="41"/>
      <c r="O12" s="41"/>
      <c r="P12" s="41"/>
      <c r="Q12" s="41"/>
      <c r="R12" s="40">
        <v>36739</v>
      </c>
      <c r="S12" s="39" t="s">
        <v>1030</v>
      </c>
    </row>
    <row r="13" spans="1:19" ht="30" x14ac:dyDescent="0.25">
      <c r="A13" s="37">
        <v>5024</v>
      </c>
      <c r="B13" s="37"/>
      <c r="C13" s="37" t="s">
        <v>1031</v>
      </c>
      <c r="D13" s="11"/>
      <c r="E13" s="37" t="s">
        <v>1032</v>
      </c>
      <c r="F13" s="39"/>
      <c r="G13" s="40">
        <v>37196</v>
      </c>
      <c r="H13" s="41"/>
      <c r="I13" s="41"/>
      <c r="J13" s="41"/>
      <c r="K13" s="41"/>
      <c r="L13" s="41"/>
      <c r="M13" s="41"/>
      <c r="N13" s="41"/>
      <c r="O13" s="41"/>
      <c r="P13" s="41"/>
      <c r="Q13" s="41"/>
      <c r="R13" s="40">
        <v>37196</v>
      </c>
      <c r="S13" s="39" t="s">
        <v>1033</v>
      </c>
    </row>
    <row r="14" spans="1:19" ht="75" x14ac:dyDescent="0.25">
      <c r="A14" s="37">
        <v>5025</v>
      </c>
      <c r="B14" s="37"/>
      <c r="C14" s="37" t="s">
        <v>1034</v>
      </c>
      <c r="D14" s="11"/>
      <c r="E14" s="37" t="s">
        <v>1035</v>
      </c>
      <c r="F14" s="39"/>
      <c r="G14" s="40">
        <v>37103</v>
      </c>
      <c r="H14" s="41"/>
      <c r="I14" s="41"/>
      <c r="J14" s="41"/>
      <c r="K14" s="41"/>
      <c r="L14" s="41"/>
      <c r="M14" s="41"/>
      <c r="N14" s="41"/>
      <c r="O14" s="41"/>
      <c r="P14" s="41"/>
      <c r="Q14" s="41"/>
      <c r="R14" s="40">
        <v>37103</v>
      </c>
      <c r="S14" s="39" t="s">
        <v>1036</v>
      </c>
    </row>
    <row r="15" spans="1:19" ht="90" x14ac:dyDescent="0.25">
      <c r="A15" s="37">
        <v>5027</v>
      </c>
      <c r="B15" s="37"/>
      <c r="C15" s="37" t="s">
        <v>1037</v>
      </c>
      <c r="D15" s="11"/>
      <c r="E15" s="37" t="s">
        <v>1038</v>
      </c>
      <c r="F15" s="39"/>
      <c r="G15" s="40">
        <v>36434</v>
      </c>
      <c r="H15" s="41"/>
      <c r="I15" s="41"/>
      <c r="J15" s="41"/>
      <c r="K15" s="41"/>
      <c r="L15" s="41"/>
      <c r="M15" s="41"/>
      <c r="N15" s="41"/>
      <c r="O15" s="41"/>
      <c r="P15" s="41"/>
      <c r="Q15" s="41"/>
      <c r="R15" s="40">
        <v>36434</v>
      </c>
      <c r="S15" s="39" t="s">
        <v>1039</v>
      </c>
    </row>
    <row r="16" spans="1:19" ht="30" x14ac:dyDescent="0.25">
      <c r="A16" s="37">
        <v>5028</v>
      </c>
      <c r="B16" s="37"/>
      <c r="C16" s="37" t="s">
        <v>1040</v>
      </c>
      <c r="D16" s="11"/>
      <c r="E16" s="37" t="s">
        <v>1041</v>
      </c>
      <c r="F16" s="39"/>
      <c r="G16" s="40">
        <v>37012</v>
      </c>
      <c r="H16" s="41"/>
      <c r="I16" s="41"/>
      <c r="J16" s="41"/>
      <c r="K16" s="41"/>
      <c r="L16" s="41"/>
      <c r="M16" s="41"/>
      <c r="N16" s="41"/>
      <c r="O16" s="41"/>
      <c r="P16" s="41"/>
      <c r="Q16" s="41"/>
      <c r="R16" s="40">
        <v>37012</v>
      </c>
      <c r="S16" s="39" t="s">
        <v>1021</v>
      </c>
    </row>
    <row r="17" spans="1:19" ht="75" x14ac:dyDescent="0.25">
      <c r="A17" s="37">
        <v>5029</v>
      </c>
      <c r="B17" s="37"/>
      <c r="C17" s="37" t="s">
        <v>1042</v>
      </c>
      <c r="D17" s="11" t="s">
        <v>2749</v>
      </c>
      <c r="E17" s="37" t="s">
        <v>1043</v>
      </c>
      <c r="F17" s="39"/>
      <c r="G17" s="42">
        <v>38898</v>
      </c>
      <c r="H17" s="41"/>
      <c r="I17" s="41"/>
      <c r="J17" s="41"/>
      <c r="K17" s="41"/>
      <c r="L17" s="41"/>
      <c r="M17" s="41"/>
      <c r="N17" s="41"/>
      <c r="O17" s="41"/>
      <c r="P17" s="41"/>
      <c r="Q17" s="41"/>
      <c r="R17" s="42">
        <v>38898</v>
      </c>
      <c r="S17" s="39" t="s">
        <v>1010</v>
      </c>
    </row>
    <row r="18" spans="1:19" ht="105" x14ac:dyDescent="0.25">
      <c r="A18" s="37">
        <v>5032</v>
      </c>
      <c r="B18" s="37"/>
      <c r="C18" s="37" t="s">
        <v>1044</v>
      </c>
      <c r="D18" s="11" t="s">
        <v>2731</v>
      </c>
      <c r="E18" s="37" t="s">
        <v>1045</v>
      </c>
      <c r="F18" s="39"/>
      <c r="G18" s="40">
        <v>39678</v>
      </c>
      <c r="H18" s="41"/>
      <c r="I18" s="41"/>
      <c r="J18" s="41"/>
      <c r="K18" s="41"/>
      <c r="L18" s="41"/>
      <c r="M18" s="41"/>
      <c r="N18" s="41"/>
      <c r="O18" s="41"/>
      <c r="P18" s="41"/>
      <c r="Q18" s="41"/>
      <c r="R18" s="40">
        <v>39678</v>
      </c>
      <c r="S18" s="39" t="s">
        <v>1046</v>
      </c>
    </row>
    <row r="19" spans="1:19" ht="45" x14ac:dyDescent="0.25">
      <c r="A19" s="37">
        <v>5033</v>
      </c>
      <c r="B19" s="37"/>
      <c r="C19" s="37" t="s">
        <v>1047</v>
      </c>
      <c r="D19" s="11" t="s">
        <v>2765</v>
      </c>
      <c r="E19" s="37" t="s">
        <v>1048</v>
      </c>
      <c r="F19" s="39"/>
      <c r="G19" s="40">
        <v>40099</v>
      </c>
      <c r="H19" s="41"/>
      <c r="I19" s="41"/>
      <c r="J19" s="41"/>
      <c r="K19" s="41"/>
      <c r="L19" s="41"/>
      <c r="M19" s="41"/>
      <c r="N19" s="41"/>
      <c r="O19" s="41"/>
      <c r="P19" s="41"/>
      <c r="Q19" s="41"/>
      <c r="R19" s="40">
        <v>40099</v>
      </c>
      <c r="S19" s="39" t="s">
        <v>1049</v>
      </c>
    </row>
    <row r="20" spans="1:19" x14ac:dyDescent="0.25">
      <c r="A20" s="37">
        <v>5034</v>
      </c>
      <c r="B20" s="37"/>
      <c r="C20" s="37" t="s">
        <v>1050</v>
      </c>
      <c r="D20" s="11"/>
      <c r="E20" s="37" t="s">
        <v>1051</v>
      </c>
      <c r="F20" s="39"/>
      <c r="G20" s="40">
        <v>37408</v>
      </c>
      <c r="H20" s="41"/>
      <c r="I20" s="41"/>
      <c r="J20" s="41"/>
      <c r="K20" s="41"/>
      <c r="L20" s="41"/>
      <c r="M20" s="41"/>
      <c r="N20" s="41"/>
      <c r="O20" s="41"/>
      <c r="P20" s="41"/>
      <c r="Q20" s="41"/>
      <c r="R20" s="40">
        <v>37408</v>
      </c>
      <c r="S20" s="39" t="s">
        <v>1052</v>
      </c>
    </row>
    <row r="21" spans="1:19" ht="60" x14ac:dyDescent="0.25">
      <c r="A21" s="37">
        <v>5036</v>
      </c>
      <c r="B21" s="37"/>
      <c r="C21" s="37" t="s">
        <v>1053</v>
      </c>
      <c r="D21" s="11"/>
      <c r="E21" s="37" t="s">
        <v>1054</v>
      </c>
      <c r="F21" s="39"/>
      <c r="G21" s="40">
        <v>39546</v>
      </c>
      <c r="H21" s="41"/>
      <c r="I21" s="41"/>
      <c r="J21" s="41"/>
      <c r="K21" s="41"/>
      <c r="L21" s="41"/>
      <c r="M21" s="41"/>
      <c r="N21" s="41"/>
      <c r="O21" s="41"/>
      <c r="P21" s="41"/>
      <c r="Q21" s="41"/>
      <c r="R21" s="40">
        <v>39546</v>
      </c>
      <c r="S21" s="39" t="s">
        <v>1055</v>
      </c>
    </row>
    <row r="22" spans="1:19" x14ac:dyDescent="0.25">
      <c r="A22" s="37">
        <v>5038</v>
      </c>
      <c r="B22" s="37"/>
      <c r="C22" s="37" t="s">
        <v>1056</v>
      </c>
      <c r="D22" s="11"/>
      <c r="E22" s="37" t="s">
        <v>1057</v>
      </c>
      <c r="F22" s="39"/>
      <c r="G22" s="40" t="s">
        <v>1058</v>
      </c>
      <c r="H22" s="41"/>
      <c r="I22" s="41"/>
      <c r="J22" s="41"/>
      <c r="K22" s="41"/>
      <c r="L22" s="41"/>
      <c r="M22" s="41"/>
      <c r="N22" s="41"/>
      <c r="O22" s="41"/>
      <c r="P22" s="41"/>
      <c r="Q22" s="41"/>
      <c r="R22" s="40" t="s">
        <v>1058</v>
      </c>
      <c r="S22" s="39" t="s">
        <v>1002</v>
      </c>
    </row>
    <row r="23" spans="1:19" x14ac:dyDescent="0.25">
      <c r="A23" s="37">
        <v>5039</v>
      </c>
      <c r="B23" s="37"/>
      <c r="C23" s="37" t="s">
        <v>1059</v>
      </c>
      <c r="D23" s="11"/>
      <c r="E23" s="37" t="s">
        <v>1060</v>
      </c>
      <c r="F23" s="39"/>
      <c r="G23" s="40">
        <v>36892</v>
      </c>
      <c r="H23" s="41"/>
      <c r="I23" s="41"/>
      <c r="J23" s="41"/>
      <c r="K23" s="41"/>
      <c r="L23" s="41"/>
      <c r="M23" s="41"/>
      <c r="N23" s="41"/>
      <c r="O23" s="41"/>
      <c r="P23" s="41"/>
      <c r="Q23" s="41"/>
      <c r="R23" s="40">
        <v>36892</v>
      </c>
      <c r="S23" s="39" t="s">
        <v>1061</v>
      </c>
    </row>
    <row r="24" spans="1:19" x14ac:dyDescent="0.25">
      <c r="A24" s="37">
        <v>5040</v>
      </c>
      <c r="B24" s="37"/>
      <c r="C24" s="37" t="s">
        <v>1062</v>
      </c>
      <c r="D24" s="11"/>
      <c r="E24" s="37" t="s">
        <v>1063</v>
      </c>
      <c r="F24" s="39"/>
      <c r="G24" s="40" t="s">
        <v>1001</v>
      </c>
      <c r="H24" s="41"/>
      <c r="I24" s="41"/>
      <c r="J24" s="41"/>
      <c r="K24" s="41"/>
      <c r="L24" s="41"/>
      <c r="M24" s="41"/>
      <c r="N24" s="41"/>
      <c r="O24" s="41"/>
      <c r="P24" s="41"/>
      <c r="Q24" s="41"/>
      <c r="R24" s="40" t="s">
        <v>1001</v>
      </c>
      <c r="S24" s="39" t="s">
        <v>1002</v>
      </c>
    </row>
    <row r="25" spans="1:19" ht="90" x14ac:dyDescent="0.25">
      <c r="A25" s="43">
        <v>5041</v>
      </c>
      <c r="B25" s="43"/>
      <c r="C25" s="37" t="s">
        <v>1064</v>
      </c>
      <c r="D25" s="11"/>
      <c r="E25" s="44" t="s">
        <v>1065</v>
      </c>
      <c r="F25" s="39"/>
      <c r="G25" s="45"/>
      <c r="H25" s="44" t="s">
        <v>1066</v>
      </c>
      <c r="I25" s="44" t="s">
        <v>50</v>
      </c>
      <c r="J25" s="44"/>
      <c r="K25" s="44" t="s">
        <v>21</v>
      </c>
      <c r="L25" s="46">
        <v>40234</v>
      </c>
      <c r="M25" s="47">
        <v>39661</v>
      </c>
      <c r="N25" s="37" t="s">
        <v>1067</v>
      </c>
      <c r="O25" s="48">
        <v>50</v>
      </c>
      <c r="P25" s="48">
        <v>50</v>
      </c>
      <c r="Q25" s="37" t="s">
        <v>1068</v>
      </c>
      <c r="R25" s="45"/>
      <c r="S25" s="45"/>
    </row>
    <row r="26" spans="1:19" x14ac:dyDescent="0.25">
      <c r="A26" s="37">
        <v>5044</v>
      </c>
      <c r="B26" s="37"/>
      <c r="C26" s="37" t="s">
        <v>1069</v>
      </c>
      <c r="D26" s="11"/>
      <c r="E26" s="37" t="s">
        <v>1070</v>
      </c>
      <c r="F26" s="39"/>
      <c r="G26" s="40" t="s">
        <v>1001</v>
      </c>
      <c r="H26" s="41"/>
      <c r="I26" s="41"/>
      <c r="J26" s="41"/>
      <c r="K26" s="41"/>
      <c r="L26" s="41"/>
      <c r="M26" s="41"/>
      <c r="N26" s="41"/>
      <c r="O26" s="41"/>
      <c r="P26" s="41"/>
      <c r="Q26" s="41"/>
      <c r="R26" s="40" t="s">
        <v>1001</v>
      </c>
      <c r="S26" s="39" t="s">
        <v>1002</v>
      </c>
    </row>
    <row r="27" spans="1:19" x14ac:dyDescent="0.25">
      <c r="A27" s="37">
        <v>5046</v>
      </c>
      <c r="B27" s="37"/>
      <c r="C27" s="37" t="s">
        <v>1071</v>
      </c>
      <c r="D27" s="11"/>
      <c r="E27" s="37" t="s">
        <v>1072</v>
      </c>
      <c r="F27" s="39"/>
      <c r="G27" s="40" t="s">
        <v>1001</v>
      </c>
      <c r="H27" s="41"/>
      <c r="I27" s="41"/>
      <c r="J27" s="41"/>
      <c r="K27" s="41"/>
      <c r="L27" s="41"/>
      <c r="M27" s="41"/>
      <c r="N27" s="41"/>
      <c r="O27" s="41"/>
      <c r="P27" s="41"/>
      <c r="Q27" s="41"/>
      <c r="R27" s="40" t="s">
        <v>1001</v>
      </c>
      <c r="S27" s="39" t="s">
        <v>1002</v>
      </c>
    </row>
    <row r="28" spans="1:19" ht="195" x14ac:dyDescent="0.25">
      <c r="A28" s="37">
        <v>5047</v>
      </c>
      <c r="B28" s="37"/>
      <c r="C28" s="37" t="s">
        <v>1073</v>
      </c>
      <c r="D28" s="11" t="s">
        <v>2749</v>
      </c>
      <c r="E28" s="37" t="s">
        <v>1074</v>
      </c>
      <c r="F28" s="39"/>
      <c r="G28" s="40">
        <v>39355</v>
      </c>
      <c r="H28" s="41"/>
      <c r="I28" s="41"/>
      <c r="J28" s="41"/>
      <c r="K28" s="41"/>
      <c r="L28" s="41"/>
      <c r="M28" s="41"/>
      <c r="N28" s="41"/>
      <c r="O28" s="41"/>
      <c r="P28" s="41"/>
      <c r="Q28" s="41"/>
      <c r="R28" s="40">
        <v>39355</v>
      </c>
      <c r="S28" s="49" t="s">
        <v>1075</v>
      </c>
    </row>
    <row r="29" spans="1:19" x14ac:dyDescent="0.25">
      <c r="A29" s="37">
        <v>5048</v>
      </c>
      <c r="B29" s="37"/>
      <c r="C29" s="37" t="s">
        <v>1076</v>
      </c>
      <c r="D29" s="11"/>
      <c r="E29" s="37" t="s">
        <v>1077</v>
      </c>
      <c r="F29" s="39"/>
      <c r="G29" s="40" t="s">
        <v>1001</v>
      </c>
      <c r="H29" s="41"/>
      <c r="I29" s="41"/>
      <c r="J29" s="41"/>
      <c r="K29" s="41"/>
      <c r="L29" s="41"/>
      <c r="M29" s="41"/>
      <c r="N29" s="41"/>
      <c r="O29" s="41"/>
      <c r="P29" s="41"/>
      <c r="Q29" s="41"/>
      <c r="R29" s="40" t="s">
        <v>1001</v>
      </c>
      <c r="S29" s="39" t="s">
        <v>1002</v>
      </c>
    </row>
    <row r="30" spans="1:19" x14ac:dyDescent="0.25">
      <c r="A30" s="37">
        <v>5049</v>
      </c>
      <c r="B30" s="37"/>
      <c r="C30" s="37" t="s">
        <v>1078</v>
      </c>
      <c r="D30" s="11"/>
      <c r="E30" s="37" t="s">
        <v>1001</v>
      </c>
      <c r="F30" s="39"/>
      <c r="G30" s="40" t="s">
        <v>1001</v>
      </c>
      <c r="H30" s="41"/>
      <c r="I30" s="41"/>
      <c r="J30" s="41"/>
      <c r="K30" s="41"/>
      <c r="L30" s="41"/>
      <c r="M30" s="41"/>
      <c r="N30" s="41"/>
      <c r="O30" s="41"/>
      <c r="P30" s="41"/>
      <c r="Q30" s="41"/>
      <c r="R30" s="40" t="s">
        <v>1001</v>
      </c>
      <c r="S30" s="39" t="s">
        <v>1002</v>
      </c>
    </row>
    <row r="31" spans="1:19" x14ac:dyDescent="0.25">
      <c r="A31" s="37">
        <v>5051</v>
      </c>
      <c r="B31" s="37"/>
      <c r="C31" s="37" t="s">
        <v>1079</v>
      </c>
      <c r="D31" s="11"/>
      <c r="E31" s="37" t="s">
        <v>73</v>
      </c>
      <c r="F31" s="39"/>
      <c r="G31" s="40" t="s">
        <v>1001</v>
      </c>
      <c r="H31" s="41"/>
      <c r="I31" s="41"/>
      <c r="J31" s="41"/>
      <c r="K31" s="41"/>
      <c r="L31" s="41"/>
      <c r="M31" s="41"/>
      <c r="N31" s="41"/>
      <c r="O31" s="41"/>
      <c r="P31" s="41"/>
      <c r="Q31" s="41"/>
      <c r="R31" s="40" t="s">
        <v>1001</v>
      </c>
      <c r="S31" s="39" t="s">
        <v>1002</v>
      </c>
    </row>
    <row r="32" spans="1:19" ht="75" x14ac:dyDescent="0.25">
      <c r="A32" s="37">
        <v>5054</v>
      </c>
      <c r="B32" s="37"/>
      <c r="C32" s="37" t="s">
        <v>1080</v>
      </c>
      <c r="D32" s="11"/>
      <c r="E32" s="37" t="s">
        <v>1081</v>
      </c>
      <c r="F32" s="39"/>
      <c r="G32" s="40">
        <v>38807</v>
      </c>
      <c r="H32" s="41"/>
      <c r="I32" s="41"/>
      <c r="J32" s="41"/>
      <c r="K32" s="41"/>
      <c r="L32" s="41"/>
      <c r="M32" s="41"/>
      <c r="N32" s="41"/>
      <c r="O32" s="41"/>
      <c r="P32" s="41"/>
      <c r="Q32" s="41"/>
      <c r="R32" s="40">
        <v>38807</v>
      </c>
      <c r="S32" s="39" t="s">
        <v>1082</v>
      </c>
    </row>
    <row r="33" spans="1:19" x14ac:dyDescent="0.25">
      <c r="A33" s="37">
        <v>5056</v>
      </c>
      <c r="B33" s="37"/>
      <c r="C33" s="37" t="s">
        <v>1083</v>
      </c>
      <c r="D33" s="11"/>
      <c r="E33" s="37" t="s">
        <v>1084</v>
      </c>
      <c r="F33" s="39"/>
      <c r="G33" s="40" t="s">
        <v>1001</v>
      </c>
      <c r="H33" s="41"/>
      <c r="I33" s="41"/>
      <c r="J33" s="41"/>
      <c r="K33" s="41"/>
      <c r="L33" s="41"/>
      <c r="M33" s="41"/>
      <c r="N33" s="41"/>
      <c r="O33" s="41"/>
      <c r="P33" s="41"/>
      <c r="Q33" s="41"/>
      <c r="R33" s="40" t="s">
        <v>1001</v>
      </c>
      <c r="S33" s="39" t="s">
        <v>1002</v>
      </c>
    </row>
    <row r="34" spans="1:19" ht="75" x14ac:dyDescent="0.25">
      <c r="A34" s="37">
        <v>5058</v>
      </c>
      <c r="B34" s="37"/>
      <c r="C34" s="37" t="s">
        <v>1085</v>
      </c>
      <c r="D34" s="11"/>
      <c r="E34" s="37" t="s">
        <v>1086</v>
      </c>
      <c r="F34" s="39"/>
      <c r="G34" s="40">
        <v>39813</v>
      </c>
      <c r="H34" s="41"/>
      <c r="I34" s="41"/>
      <c r="J34" s="41"/>
      <c r="K34" s="41"/>
      <c r="L34" s="41"/>
      <c r="M34" s="41"/>
      <c r="N34" s="41"/>
      <c r="O34" s="41"/>
      <c r="P34" s="41"/>
      <c r="Q34" s="41"/>
      <c r="R34" s="40">
        <v>39813</v>
      </c>
      <c r="S34" s="39" t="s">
        <v>1087</v>
      </c>
    </row>
    <row r="35" spans="1:19" x14ac:dyDescent="0.25">
      <c r="A35" s="37">
        <v>5059</v>
      </c>
      <c r="B35" s="37"/>
      <c r="C35" s="37" t="s">
        <v>1088</v>
      </c>
      <c r="D35" s="11"/>
      <c r="E35" s="37" t="s">
        <v>1089</v>
      </c>
      <c r="F35" s="39"/>
      <c r="G35" s="40" t="s">
        <v>1001</v>
      </c>
      <c r="H35" s="41"/>
      <c r="I35" s="41"/>
      <c r="J35" s="41"/>
      <c r="K35" s="41"/>
      <c r="L35" s="41"/>
      <c r="M35" s="41"/>
      <c r="N35" s="41"/>
      <c r="O35" s="41"/>
      <c r="P35" s="41"/>
      <c r="Q35" s="41"/>
      <c r="R35" s="40" t="s">
        <v>1001</v>
      </c>
      <c r="S35" s="39" t="s">
        <v>1002</v>
      </c>
    </row>
    <row r="36" spans="1:19" x14ac:dyDescent="0.25">
      <c r="A36" s="37">
        <v>5060</v>
      </c>
      <c r="B36" s="37"/>
      <c r="C36" s="37" t="s">
        <v>1090</v>
      </c>
      <c r="D36" s="11"/>
      <c r="E36" s="37" t="s">
        <v>1091</v>
      </c>
      <c r="F36" s="39"/>
      <c r="G36" s="40" t="s">
        <v>1001</v>
      </c>
      <c r="H36" s="41"/>
      <c r="I36" s="41"/>
      <c r="J36" s="41"/>
      <c r="K36" s="41"/>
      <c r="L36" s="41"/>
      <c r="M36" s="41"/>
      <c r="N36" s="41"/>
      <c r="O36" s="41"/>
      <c r="P36" s="41"/>
      <c r="Q36" s="41"/>
      <c r="R36" s="40" t="s">
        <v>1001</v>
      </c>
      <c r="S36" s="39" t="s">
        <v>1002</v>
      </c>
    </row>
    <row r="37" spans="1:19" ht="45" x14ac:dyDescent="0.25">
      <c r="A37" s="37">
        <v>5064</v>
      </c>
      <c r="B37" s="37"/>
      <c r="C37" s="37" t="s">
        <v>1092</v>
      </c>
      <c r="D37" s="11"/>
      <c r="E37" s="37" t="s">
        <v>1093</v>
      </c>
      <c r="F37" s="39"/>
      <c r="G37" s="40">
        <v>38961</v>
      </c>
      <c r="H37" s="41"/>
      <c r="I37" s="41"/>
      <c r="J37" s="41"/>
      <c r="K37" s="41"/>
      <c r="L37" s="41"/>
      <c r="M37" s="41"/>
      <c r="N37" s="41"/>
      <c r="O37" s="41"/>
      <c r="P37" s="41"/>
      <c r="Q37" s="41"/>
      <c r="R37" s="40">
        <v>38961</v>
      </c>
      <c r="S37" s="39" t="s">
        <v>1049</v>
      </c>
    </row>
    <row r="38" spans="1:19" x14ac:dyDescent="0.25">
      <c r="A38" s="37">
        <v>5065</v>
      </c>
      <c r="B38" s="37"/>
      <c r="C38" s="37" t="s">
        <v>1094</v>
      </c>
      <c r="D38" s="11"/>
      <c r="E38" s="37" t="s">
        <v>1095</v>
      </c>
      <c r="F38" s="39"/>
      <c r="G38" s="40" t="s">
        <v>1001</v>
      </c>
      <c r="H38" s="41"/>
      <c r="I38" s="41"/>
      <c r="J38" s="41"/>
      <c r="K38" s="41"/>
      <c r="L38" s="41"/>
      <c r="M38" s="41"/>
      <c r="N38" s="41"/>
      <c r="O38" s="41"/>
      <c r="P38" s="41"/>
      <c r="Q38" s="41"/>
      <c r="R38" s="40" t="s">
        <v>1001</v>
      </c>
      <c r="S38" s="39" t="s">
        <v>1002</v>
      </c>
    </row>
    <row r="39" spans="1:19" ht="90" x14ac:dyDescent="0.25">
      <c r="A39" s="43">
        <v>5067</v>
      </c>
      <c r="B39" s="43"/>
      <c r="C39" s="37" t="s">
        <v>1096</v>
      </c>
      <c r="D39" s="11"/>
      <c r="E39" s="44" t="s">
        <v>1097</v>
      </c>
      <c r="F39" s="45"/>
      <c r="G39" s="44" t="s">
        <v>1098</v>
      </c>
      <c r="H39" s="37"/>
      <c r="I39" s="37" t="s">
        <v>1099</v>
      </c>
      <c r="J39" s="46">
        <v>40543</v>
      </c>
      <c r="K39" s="46">
        <v>39493</v>
      </c>
      <c r="L39" s="37" t="s">
        <v>52</v>
      </c>
      <c r="M39" s="48">
        <v>150</v>
      </c>
      <c r="N39" s="50">
        <v>50</v>
      </c>
      <c r="O39" s="50"/>
      <c r="P39" s="44" t="s">
        <v>1100</v>
      </c>
      <c r="Q39" s="44"/>
      <c r="R39" s="44" t="s">
        <v>1098</v>
      </c>
      <c r="S39" s="44" t="s">
        <v>219</v>
      </c>
    </row>
    <row r="40" spans="1:19" ht="75" x14ac:dyDescent="0.25">
      <c r="A40" s="37">
        <v>5068</v>
      </c>
      <c r="B40" s="37"/>
      <c r="C40" s="37" t="s">
        <v>1101</v>
      </c>
      <c r="D40" s="11"/>
      <c r="E40" s="37" t="s">
        <v>1102</v>
      </c>
      <c r="F40" s="39"/>
      <c r="G40" s="40">
        <v>40179</v>
      </c>
      <c r="H40" s="41"/>
      <c r="I40" s="41"/>
      <c r="J40" s="41"/>
      <c r="K40" s="41"/>
      <c r="L40" s="41"/>
      <c r="M40" s="41"/>
      <c r="N40" s="41"/>
      <c r="O40" s="41"/>
      <c r="P40" s="41"/>
      <c r="Q40" s="41"/>
      <c r="R40" s="40">
        <v>40179</v>
      </c>
      <c r="S40" s="39" t="s">
        <v>1010</v>
      </c>
    </row>
    <row r="41" spans="1:19" x14ac:dyDescent="0.25">
      <c r="A41" s="37">
        <v>5072</v>
      </c>
      <c r="B41" s="37"/>
      <c r="C41" s="37" t="s">
        <v>1103</v>
      </c>
      <c r="D41" s="11"/>
      <c r="E41" s="37" t="s">
        <v>1104</v>
      </c>
      <c r="F41" s="39"/>
      <c r="G41" s="40" t="s">
        <v>1001</v>
      </c>
      <c r="H41" s="41"/>
      <c r="I41" s="41"/>
      <c r="J41" s="41"/>
      <c r="K41" s="41"/>
      <c r="L41" s="41"/>
      <c r="M41" s="41"/>
      <c r="N41" s="41"/>
      <c r="O41" s="41"/>
      <c r="P41" s="41"/>
      <c r="Q41" s="41"/>
      <c r="R41" s="40" t="s">
        <v>1001</v>
      </c>
      <c r="S41" s="39" t="s">
        <v>1002</v>
      </c>
    </row>
    <row r="42" spans="1:19" x14ac:dyDescent="0.25">
      <c r="A42" s="37">
        <v>5073</v>
      </c>
      <c r="B42" s="37"/>
      <c r="C42" s="37" t="s">
        <v>1105</v>
      </c>
      <c r="D42" s="11"/>
      <c r="E42" s="37" t="s">
        <v>1106</v>
      </c>
      <c r="F42" s="39"/>
      <c r="G42" s="40" t="s">
        <v>1001</v>
      </c>
      <c r="H42" s="41"/>
      <c r="I42" s="41"/>
      <c r="J42" s="41"/>
      <c r="K42" s="41"/>
      <c r="L42" s="41"/>
      <c r="M42" s="41"/>
      <c r="N42" s="41"/>
      <c r="O42" s="41"/>
      <c r="P42" s="41"/>
      <c r="Q42" s="41"/>
      <c r="R42" s="40" t="s">
        <v>1001</v>
      </c>
      <c r="S42" s="39" t="s">
        <v>1002</v>
      </c>
    </row>
    <row r="43" spans="1:19" x14ac:dyDescent="0.25">
      <c r="A43" s="37">
        <v>5074</v>
      </c>
      <c r="B43" s="37"/>
      <c r="C43" s="37" t="s">
        <v>1107</v>
      </c>
      <c r="D43" s="11"/>
      <c r="E43" s="37" t="s">
        <v>1108</v>
      </c>
      <c r="F43" s="39"/>
      <c r="G43" s="40" t="s">
        <v>1001</v>
      </c>
      <c r="H43" s="41"/>
      <c r="I43" s="41"/>
      <c r="J43" s="41"/>
      <c r="K43" s="41"/>
      <c r="L43" s="41"/>
      <c r="M43" s="41"/>
      <c r="N43" s="41"/>
      <c r="O43" s="41"/>
      <c r="P43" s="41"/>
      <c r="Q43" s="41"/>
      <c r="R43" s="40" t="s">
        <v>1001</v>
      </c>
      <c r="S43" s="39" t="s">
        <v>1002</v>
      </c>
    </row>
    <row r="44" spans="1:19" ht="90" x14ac:dyDescent="0.25">
      <c r="A44" s="37">
        <v>5075</v>
      </c>
      <c r="B44" s="37"/>
      <c r="C44" s="37" t="s">
        <v>1109</v>
      </c>
      <c r="D44" s="11"/>
      <c r="E44" s="37" t="s">
        <v>1110</v>
      </c>
      <c r="F44" s="39"/>
      <c r="G44" s="40">
        <v>39294</v>
      </c>
      <c r="H44" s="41"/>
      <c r="I44" s="41"/>
      <c r="J44" s="41"/>
      <c r="K44" s="41"/>
      <c r="L44" s="41"/>
      <c r="M44" s="41"/>
      <c r="N44" s="41"/>
      <c r="O44" s="41"/>
      <c r="P44" s="41"/>
      <c r="Q44" s="41"/>
      <c r="R44" s="40">
        <v>39294</v>
      </c>
      <c r="S44" s="39" t="s">
        <v>1111</v>
      </c>
    </row>
    <row r="45" spans="1:19" x14ac:dyDescent="0.25">
      <c r="A45" s="37">
        <v>5077</v>
      </c>
      <c r="B45" s="37"/>
      <c r="C45" s="37" t="s">
        <v>1112</v>
      </c>
      <c r="D45" s="11"/>
      <c r="E45" s="37" t="s">
        <v>1113</v>
      </c>
      <c r="F45" s="39"/>
      <c r="G45" s="40" t="s">
        <v>1001</v>
      </c>
      <c r="H45" s="41"/>
      <c r="I45" s="41"/>
      <c r="J45" s="41"/>
      <c r="K45" s="41"/>
      <c r="L45" s="41"/>
      <c r="M45" s="41"/>
      <c r="N45" s="41"/>
      <c r="O45" s="41"/>
      <c r="P45" s="41"/>
      <c r="Q45" s="41"/>
      <c r="R45" s="40" t="s">
        <v>1001</v>
      </c>
      <c r="S45" s="39" t="s">
        <v>1002</v>
      </c>
    </row>
    <row r="46" spans="1:19" x14ac:dyDescent="0.25">
      <c r="A46" s="37">
        <v>5078</v>
      </c>
      <c r="B46" s="37"/>
      <c r="C46" s="37" t="s">
        <v>1114</v>
      </c>
      <c r="D46" s="11"/>
      <c r="E46" s="37" t="s">
        <v>1115</v>
      </c>
      <c r="F46" s="39"/>
      <c r="G46" s="40" t="s">
        <v>1001</v>
      </c>
      <c r="H46" s="41"/>
      <c r="I46" s="41"/>
      <c r="J46" s="41"/>
      <c r="K46" s="41"/>
      <c r="L46" s="41"/>
      <c r="M46" s="41"/>
      <c r="N46" s="41"/>
      <c r="O46" s="41"/>
      <c r="P46" s="41"/>
      <c r="Q46" s="41"/>
      <c r="R46" s="40" t="s">
        <v>1001</v>
      </c>
      <c r="S46" s="39" t="s">
        <v>1002</v>
      </c>
    </row>
    <row r="47" spans="1:19" ht="60" x14ac:dyDescent="0.25">
      <c r="A47" s="43">
        <v>5082</v>
      </c>
      <c r="B47" s="43"/>
      <c r="C47" s="37" t="s">
        <v>1116</v>
      </c>
      <c r="D47" s="11"/>
      <c r="E47" s="44" t="s">
        <v>1117</v>
      </c>
      <c r="F47" s="44" t="s">
        <v>126</v>
      </c>
      <c r="G47" s="44" t="s">
        <v>1098</v>
      </c>
      <c r="H47" s="37"/>
      <c r="I47" s="37" t="s">
        <v>1099</v>
      </c>
      <c r="J47" s="46">
        <v>41760</v>
      </c>
      <c r="K47" s="51" t="s">
        <v>1001</v>
      </c>
      <c r="L47" s="44" t="s">
        <v>1118</v>
      </c>
      <c r="M47" s="50">
        <v>150</v>
      </c>
      <c r="N47" s="50"/>
      <c r="O47" s="50"/>
      <c r="P47" s="45"/>
      <c r="Q47" s="45"/>
      <c r="R47" s="45"/>
      <c r="S47" s="45"/>
    </row>
    <row r="48" spans="1:19" ht="90" x14ac:dyDescent="0.25">
      <c r="A48" s="37">
        <v>5083</v>
      </c>
      <c r="B48" s="37"/>
      <c r="C48" s="37" t="s">
        <v>1119</v>
      </c>
      <c r="D48" s="11"/>
      <c r="E48" s="37" t="s">
        <v>1120</v>
      </c>
      <c r="F48" s="39"/>
      <c r="G48" s="40">
        <v>39431</v>
      </c>
      <c r="H48" s="41"/>
      <c r="I48" s="41"/>
      <c r="J48" s="41"/>
      <c r="K48" s="41"/>
      <c r="L48" s="41"/>
      <c r="M48" s="41"/>
      <c r="N48" s="41"/>
      <c r="O48" s="41"/>
      <c r="P48" s="41"/>
      <c r="Q48" s="41"/>
      <c r="R48" s="40">
        <v>39431</v>
      </c>
      <c r="S48" s="39" t="s">
        <v>1121</v>
      </c>
    </row>
    <row r="49" spans="1:19" x14ac:dyDescent="0.25">
      <c r="A49" s="37">
        <v>5084</v>
      </c>
      <c r="B49" s="37"/>
      <c r="C49" s="37" t="s">
        <v>1122</v>
      </c>
      <c r="D49" s="11"/>
      <c r="E49" s="37" t="s">
        <v>1123</v>
      </c>
      <c r="F49" s="39"/>
      <c r="G49" s="40" t="s">
        <v>1001</v>
      </c>
      <c r="H49" s="41"/>
      <c r="I49" s="41"/>
      <c r="J49" s="41"/>
      <c r="K49" s="41"/>
      <c r="L49" s="41"/>
      <c r="M49" s="41"/>
      <c r="N49" s="41"/>
      <c r="O49" s="41"/>
      <c r="P49" s="41"/>
      <c r="Q49" s="41"/>
      <c r="R49" s="40" t="s">
        <v>1001</v>
      </c>
      <c r="S49" s="39" t="s">
        <v>1002</v>
      </c>
    </row>
    <row r="50" spans="1:19" ht="45" x14ac:dyDescent="0.25">
      <c r="A50" s="37">
        <v>5089</v>
      </c>
      <c r="B50" s="37"/>
      <c r="C50" s="37" t="s">
        <v>1124</v>
      </c>
      <c r="D50" s="11"/>
      <c r="E50" s="37" t="s">
        <v>1125</v>
      </c>
      <c r="F50" s="39"/>
      <c r="G50" s="40" t="s">
        <v>1001</v>
      </c>
      <c r="H50" s="41"/>
      <c r="I50" s="41"/>
      <c r="J50" s="41"/>
      <c r="K50" s="41"/>
      <c r="L50" s="41"/>
      <c r="M50" s="41"/>
      <c r="N50" s="41"/>
      <c r="O50" s="41"/>
      <c r="P50" s="41"/>
      <c r="Q50" s="41"/>
      <c r="R50" s="40" t="s">
        <v>1001</v>
      </c>
      <c r="S50" s="39" t="s">
        <v>1002</v>
      </c>
    </row>
    <row r="51" spans="1:19" x14ac:dyDescent="0.25">
      <c r="A51" s="37">
        <v>5090</v>
      </c>
      <c r="B51" s="37"/>
      <c r="C51" s="37" t="s">
        <v>1126</v>
      </c>
      <c r="D51" s="11"/>
      <c r="E51" s="37" t="s">
        <v>1127</v>
      </c>
      <c r="F51" s="39"/>
      <c r="G51" s="40" t="s">
        <v>1001</v>
      </c>
      <c r="H51" s="41"/>
      <c r="I51" s="41"/>
      <c r="J51" s="41"/>
      <c r="K51" s="41"/>
      <c r="L51" s="41"/>
      <c r="M51" s="41"/>
      <c r="N51" s="41"/>
      <c r="O51" s="41"/>
      <c r="P51" s="41"/>
      <c r="Q51" s="41"/>
      <c r="R51" s="40" t="s">
        <v>1001</v>
      </c>
      <c r="S51" s="39" t="s">
        <v>1002</v>
      </c>
    </row>
    <row r="52" spans="1:19" x14ac:dyDescent="0.25">
      <c r="A52" s="37">
        <v>5096</v>
      </c>
      <c r="B52" s="37"/>
      <c r="C52" s="37" t="s">
        <v>1128</v>
      </c>
      <c r="D52" s="11"/>
      <c r="E52" s="37" t="s">
        <v>1129</v>
      </c>
      <c r="F52" s="39"/>
      <c r="G52" s="40" t="s">
        <v>1001</v>
      </c>
      <c r="H52" s="41"/>
      <c r="I52" s="41"/>
      <c r="J52" s="41"/>
      <c r="K52" s="41"/>
      <c r="L52" s="41"/>
      <c r="M52" s="41"/>
      <c r="N52" s="41"/>
      <c r="O52" s="41"/>
      <c r="P52" s="41"/>
      <c r="Q52" s="41"/>
      <c r="R52" s="40" t="s">
        <v>1001</v>
      </c>
      <c r="S52" s="39" t="s">
        <v>1049</v>
      </c>
    </row>
    <row r="53" spans="1:19" x14ac:dyDescent="0.25">
      <c r="A53" s="37">
        <v>5097</v>
      </c>
      <c r="B53" s="37"/>
      <c r="C53" s="37" t="s">
        <v>1130</v>
      </c>
      <c r="D53" s="11"/>
      <c r="E53" s="37" t="s">
        <v>1131</v>
      </c>
      <c r="F53" s="39"/>
      <c r="G53" s="40" t="s">
        <v>1001</v>
      </c>
      <c r="H53" s="41"/>
      <c r="I53" s="41"/>
      <c r="J53" s="41"/>
      <c r="K53" s="41"/>
      <c r="L53" s="41"/>
      <c r="M53" s="41"/>
      <c r="N53" s="41"/>
      <c r="O53" s="41"/>
      <c r="P53" s="41"/>
      <c r="Q53" s="41"/>
      <c r="R53" s="40" t="s">
        <v>1001</v>
      </c>
      <c r="S53" s="39" t="s">
        <v>1002</v>
      </c>
    </row>
    <row r="54" spans="1:19" x14ac:dyDescent="0.25">
      <c r="A54" s="37">
        <v>5099</v>
      </c>
      <c r="B54" s="37"/>
      <c r="C54" s="37" t="s">
        <v>1132</v>
      </c>
      <c r="D54" s="11"/>
      <c r="E54" s="37" t="s">
        <v>1133</v>
      </c>
      <c r="F54" s="39"/>
      <c r="G54" s="40" t="s">
        <v>1001</v>
      </c>
      <c r="H54" s="41"/>
      <c r="I54" s="41"/>
      <c r="J54" s="41"/>
      <c r="K54" s="41"/>
      <c r="L54" s="41"/>
      <c r="M54" s="41"/>
      <c r="N54" s="41"/>
      <c r="O54" s="41"/>
      <c r="P54" s="41"/>
      <c r="Q54" s="41"/>
      <c r="R54" s="40" t="s">
        <v>1001</v>
      </c>
      <c r="S54" s="39" t="s">
        <v>1002</v>
      </c>
    </row>
    <row r="55" spans="1:19" ht="75" x14ac:dyDescent="0.25">
      <c r="A55" s="37">
        <v>5100</v>
      </c>
      <c r="B55" s="37"/>
      <c r="C55" s="37" t="s">
        <v>1134</v>
      </c>
      <c r="D55" s="11"/>
      <c r="E55" s="37" t="s">
        <v>82</v>
      </c>
      <c r="F55" s="39"/>
      <c r="G55" s="40" t="s">
        <v>1001</v>
      </c>
      <c r="H55" s="41"/>
      <c r="I55" s="41"/>
      <c r="J55" s="41"/>
      <c r="K55" s="41"/>
      <c r="L55" s="41"/>
      <c r="M55" s="41"/>
      <c r="N55" s="41"/>
      <c r="O55" s="41"/>
      <c r="P55" s="41"/>
      <c r="Q55" s="41"/>
      <c r="R55" s="40" t="s">
        <v>1001</v>
      </c>
      <c r="S55" s="39" t="s">
        <v>1135</v>
      </c>
    </row>
    <row r="56" spans="1:19" x14ac:dyDescent="0.25">
      <c r="A56" s="37">
        <v>5101</v>
      </c>
      <c r="B56" s="37"/>
      <c r="C56" s="37" t="s">
        <v>1136</v>
      </c>
      <c r="D56" s="11"/>
      <c r="E56" s="37"/>
      <c r="F56" s="39"/>
      <c r="G56" s="40">
        <v>40161</v>
      </c>
      <c r="H56" s="41"/>
      <c r="I56" s="41"/>
      <c r="J56" s="41"/>
      <c r="K56" s="41"/>
      <c r="L56" s="41"/>
      <c r="M56" s="41"/>
      <c r="N56" s="41"/>
      <c r="O56" s="41"/>
      <c r="P56" s="41"/>
      <c r="Q56" s="41"/>
      <c r="R56" s="40">
        <v>40161</v>
      </c>
      <c r="S56" s="39"/>
    </row>
    <row r="57" spans="1:19" s="534" customFormat="1" ht="60" x14ac:dyDescent="0.25">
      <c r="A57" s="66">
        <v>5101</v>
      </c>
      <c r="B57" s="66"/>
      <c r="C57" s="38" t="s">
        <v>1137</v>
      </c>
      <c r="D57" s="538"/>
      <c r="E57" s="68" t="s">
        <v>1138</v>
      </c>
      <c r="F57" s="68" t="s">
        <v>126</v>
      </c>
      <c r="G57" s="68" t="s">
        <v>1098</v>
      </c>
      <c r="H57" s="38"/>
      <c r="I57" s="38" t="s">
        <v>1139</v>
      </c>
      <c r="J57" s="69">
        <v>40329</v>
      </c>
      <c r="K57" s="855">
        <v>39965</v>
      </c>
      <c r="L57" s="68" t="s">
        <v>1140</v>
      </c>
      <c r="M57" s="71"/>
      <c r="N57" s="71"/>
      <c r="O57" s="71"/>
      <c r="P57" s="68" t="s">
        <v>1141</v>
      </c>
      <c r="Q57" s="68"/>
      <c r="R57" s="72"/>
      <c r="S57" s="72"/>
    </row>
    <row r="58" spans="1:19" ht="60" x14ac:dyDescent="0.25">
      <c r="A58" s="43">
        <v>5102</v>
      </c>
      <c r="B58" s="52" t="s">
        <v>1142</v>
      </c>
      <c r="C58" s="37" t="s">
        <v>1143</v>
      </c>
      <c r="D58" s="11"/>
      <c r="E58" s="44" t="s">
        <v>1144</v>
      </c>
      <c r="F58" s="44" t="s">
        <v>58</v>
      </c>
      <c r="G58" s="44" t="s">
        <v>1145</v>
      </c>
      <c r="H58" s="37" t="s">
        <v>1146</v>
      </c>
      <c r="I58" s="37" t="s">
        <v>34</v>
      </c>
      <c r="J58" s="46">
        <v>41699</v>
      </c>
      <c r="K58" s="51">
        <v>41334</v>
      </c>
      <c r="L58" s="37" t="s">
        <v>52</v>
      </c>
      <c r="M58" s="48">
        <v>200</v>
      </c>
      <c r="N58" s="48">
        <v>50</v>
      </c>
      <c r="O58" s="48"/>
      <c r="P58" s="45"/>
      <c r="Q58" s="45"/>
      <c r="R58" s="45"/>
      <c r="S58" s="45"/>
    </row>
    <row r="59" spans="1:19" ht="105" x14ac:dyDescent="0.25">
      <c r="A59" s="37">
        <v>5109</v>
      </c>
      <c r="B59" s="37"/>
      <c r="C59" s="37" t="s">
        <v>1147</v>
      </c>
      <c r="D59" s="11"/>
      <c r="E59" s="37" t="s">
        <v>1148</v>
      </c>
      <c r="F59" s="39"/>
      <c r="G59" s="40">
        <v>40077</v>
      </c>
      <c r="H59" s="41"/>
      <c r="I59" s="41"/>
      <c r="J59" s="41"/>
      <c r="K59" s="41"/>
      <c r="L59" s="41"/>
      <c r="M59" s="41"/>
      <c r="N59" s="41"/>
      <c r="O59" s="41"/>
      <c r="P59" s="41"/>
      <c r="Q59" s="41"/>
      <c r="R59" s="40">
        <v>40077</v>
      </c>
      <c r="S59" s="39" t="s">
        <v>1010</v>
      </c>
    </row>
    <row r="60" spans="1:19" ht="75" x14ac:dyDescent="0.25">
      <c r="A60" s="37">
        <v>5112</v>
      </c>
      <c r="B60" s="37"/>
      <c r="C60" s="37" t="s">
        <v>1149</v>
      </c>
      <c r="D60" s="11"/>
      <c r="E60" s="37" t="s">
        <v>1150</v>
      </c>
      <c r="F60" s="39"/>
      <c r="G60" s="40" t="s">
        <v>1151</v>
      </c>
      <c r="H60" s="41"/>
      <c r="I60" s="41"/>
      <c r="J60" s="41"/>
      <c r="K60" s="41"/>
      <c r="L60" s="41"/>
      <c r="M60" s="41"/>
      <c r="N60" s="41"/>
      <c r="O60" s="41"/>
      <c r="P60" s="41"/>
      <c r="Q60" s="41"/>
      <c r="R60" s="40" t="s">
        <v>1151</v>
      </c>
      <c r="S60" s="39" t="s">
        <v>1152</v>
      </c>
    </row>
    <row r="61" spans="1:19" ht="60" x14ac:dyDescent="0.25">
      <c r="A61" s="37">
        <v>5119</v>
      </c>
      <c r="B61" s="37"/>
      <c r="C61" s="37" t="s">
        <v>1153</v>
      </c>
      <c r="D61" s="11"/>
      <c r="E61" s="37" t="s">
        <v>1154</v>
      </c>
      <c r="F61" s="39"/>
      <c r="G61" s="40">
        <v>39263</v>
      </c>
      <c r="H61" s="41"/>
      <c r="I61" s="41"/>
      <c r="J61" s="41"/>
      <c r="K61" s="41"/>
      <c r="L61" s="41"/>
      <c r="M61" s="41"/>
      <c r="N61" s="41"/>
      <c r="O61" s="41"/>
      <c r="P61" s="41"/>
      <c r="Q61" s="41"/>
      <c r="R61" s="40">
        <v>39263</v>
      </c>
      <c r="S61" s="39" t="s">
        <v>1155</v>
      </c>
    </row>
    <row r="62" spans="1:19" ht="30" x14ac:dyDescent="0.25">
      <c r="A62" s="37">
        <v>5121</v>
      </c>
      <c r="B62" s="37"/>
      <c r="C62" s="37" t="s">
        <v>1156</v>
      </c>
      <c r="D62" s="11"/>
      <c r="E62" s="37" t="s">
        <v>1157</v>
      </c>
      <c r="F62" s="39"/>
      <c r="G62" s="40">
        <v>40101</v>
      </c>
      <c r="H62" s="41"/>
      <c r="I62" s="41"/>
      <c r="J62" s="41"/>
      <c r="K62" s="41"/>
      <c r="L62" s="41"/>
      <c r="M62" s="41"/>
      <c r="N62" s="41"/>
      <c r="O62" s="41"/>
      <c r="P62" s="41"/>
      <c r="Q62" s="41"/>
      <c r="R62" s="40">
        <v>40101</v>
      </c>
      <c r="S62" s="39" t="s">
        <v>1158</v>
      </c>
    </row>
    <row r="63" spans="1:19" x14ac:dyDescent="0.25">
      <c r="A63" s="37">
        <v>5122</v>
      </c>
      <c r="B63" s="37"/>
      <c r="C63" s="37"/>
      <c r="D63" s="11"/>
      <c r="E63" s="37"/>
      <c r="F63" s="39"/>
      <c r="G63" s="40"/>
      <c r="H63" s="41"/>
      <c r="I63" s="41"/>
      <c r="J63" s="41"/>
      <c r="K63" s="41"/>
      <c r="L63" s="41"/>
      <c r="M63" s="41"/>
      <c r="N63" s="41"/>
      <c r="O63" s="41"/>
      <c r="P63" s="41"/>
      <c r="Q63" s="41"/>
      <c r="R63" s="40"/>
      <c r="S63" s="39"/>
    </row>
    <row r="64" spans="1:19" x14ac:dyDescent="0.25">
      <c r="A64" s="37">
        <v>5123</v>
      </c>
      <c r="B64" s="37"/>
      <c r="C64" s="37"/>
      <c r="D64" s="11"/>
      <c r="E64" s="37"/>
      <c r="F64" s="39"/>
      <c r="G64" s="40"/>
      <c r="H64" s="41"/>
      <c r="I64" s="41"/>
      <c r="J64" s="41"/>
      <c r="K64" s="41"/>
      <c r="L64" s="41"/>
      <c r="M64" s="41"/>
      <c r="N64" s="41"/>
      <c r="O64" s="41"/>
      <c r="P64" s="41"/>
      <c r="Q64" s="41"/>
      <c r="R64" s="40"/>
      <c r="S64" s="39"/>
    </row>
    <row r="65" spans="1:19" x14ac:dyDescent="0.25">
      <c r="A65" s="37">
        <v>5124</v>
      </c>
      <c r="B65" s="37"/>
      <c r="C65" s="37" t="s">
        <v>1159</v>
      </c>
      <c r="D65" s="11"/>
      <c r="E65" s="37" t="s">
        <v>1160</v>
      </c>
      <c r="F65" s="39"/>
      <c r="G65" s="40" t="s">
        <v>1001</v>
      </c>
      <c r="H65" s="41"/>
      <c r="I65" s="41"/>
      <c r="J65" s="41"/>
      <c r="K65" s="41"/>
      <c r="L65" s="41"/>
      <c r="M65" s="41"/>
      <c r="N65" s="41"/>
      <c r="O65" s="41"/>
      <c r="P65" s="41"/>
      <c r="Q65" s="41"/>
      <c r="R65" s="40" t="s">
        <v>1001</v>
      </c>
      <c r="S65" s="39" t="s">
        <v>1002</v>
      </c>
    </row>
    <row r="66" spans="1:19" ht="150" x14ac:dyDescent="0.25">
      <c r="A66" s="37">
        <v>5126</v>
      </c>
      <c r="B66" s="37" t="s">
        <v>1161</v>
      </c>
      <c r="C66" s="37" t="s">
        <v>1162</v>
      </c>
      <c r="D66" s="11"/>
      <c r="E66" s="37" t="s">
        <v>1163</v>
      </c>
      <c r="F66" s="39"/>
      <c r="G66" s="40">
        <v>39342</v>
      </c>
      <c r="H66" s="41"/>
      <c r="I66" s="41"/>
      <c r="J66" s="41"/>
      <c r="K66" s="41"/>
      <c r="L66" s="41"/>
      <c r="M66" s="41"/>
      <c r="N66" s="41"/>
      <c r="O66" s="41"/>
      <c r="P66" s="41"/>
      <c r="Q66" s="41"/>
      <c r="R66" s="40">
        <v>39342</v>
      </c>
      <c r="S66" s="39" t="s">
        <v>1164</v>
      </c>
    </row>
    <row r="67" spans="1:19" ht="90" x14ac:dyDescent="0.25">
      <c r="A67" s="37">
        <v>5131</v>
      </c>
      <c r="B67" s="37"/>
      <c r="C67" s="37" t="s">
        <v>1165</v>
      </c>
      <c r="D67" s="11"/>
      <c r="E67" s="37" t="s">
        <v>1166</v>
      </c>
      <c r="F67" s="39"/>
      <c r="G67" s="40">
        <v>39142</v>
      </c>
      <c r="H67" s="41"/>
      <c r="I67" s="41"/>
      <c r="J67" s="41"/>
      <c r="K67" s="41"/>
      <c r="L67" s="41"/>
      <c r="M67" s="41"/>
      <c r="N67" s="41"/>
      <c r="O67" s="41"/>
      <c r="P67" s="41"/>
      <c r="Q67" s="41"/>
      <c r="R67" s="40">
        <v>39142</v>
      </c>
      <c r="S67" s="39" t="s">
        <v>1167</v>
      </c>
    </row>
    <row r="68" spans="1:19" x14ac:dyDescent="0.25">
      <c r="A68" s="37">
        <v>5132</v>
      </c>
      <c r="B68" s="37"/>
      <c r="C68" s="37" t="s">
        <v>1168</v>
      </c>
      <c r="D68" s="11"/>
      <c r="E68" s="37" t="s">
        <v>1169</v>
      </c>
      <c r="F68" s="39"/>
      <c r="G68" s="37" t="s">
        <v>1002</v>
      </c>
      <c r="H68" s="41"/>
      <c r="I68" s="41"/>
      <c r="J68" s="41"/>
      <c r="K68" s="41"/>
      <c r="L68" s="41"/>
      <c r="M68" s="41"/>
      <c r="N68" s="41"/>
      <c r="O68" s="41"/>
      <c r="P68" s="41"/>
      <c r="Q68" s="41"/>
      <c r="R68" s="37" t="s">
        <v>1002</v>
      </c>
      <c r="S68" s="39" t="s">
        <v>1002</v>
      </c>
    </row>
    <row r="69" spans="1:19" ht="90" x14ac:dyDescent="0.25">
      <c r="A69" s="37">
        <v>5136</v>
      </c>
      <c r="B69" s="37"/>
      <c r="C69" s="37" t="s">
        <v>1170</v>
      </c>
      <c r="D69" s="11"/>
      <c r="E69" s="37" t="s">
        <v>1171</v>
      </c>
      <c r="F69" s="39"/>
      <c r="G69" s="40">
        <v>39202</v>
      </c>
      <c r="H69" s="41"/>
      <c r="I69" s="41"/>
      <c r="J69" s="41"/>
      <c r="K69" s="41"/>
      <c r="L69" s="41"/>
      <c r="M69" s="41"/>
      <c r="N69" s="41"/>
      <c r="O69" s="41"/>
      <c r="P69" s="41"/>
      <c r="Q69" s="41"/>
      <c r="R69" s="40">
        <v>39202</v>
      </c>
      <c r="S69" s="39" t="s">
        <v>1024</v>
      </c>
    </row>
    <row r="70" spans="1:19" ht="75" x14ac:dyDescent="0.25">
      <c r="A70" s="37">
        <v>5137</v>
      </c>
      <c r="B70" s="37"/>
      <c r="C70" s="37" t="s">
        <v>1172</v>
      </c>
      <c r="D70" s="11"/>
      <c r="E70" s="37" t="s">
        <v>1173</v>
      </c>
      <c r="F70" s="39"/>
      <c r="G70" s="40">
        <v>39586</v>
      </c>
      <c r="H70" s="41"/>
      <c r="I70" s="41"/>
      <c r="J70" s="41"/>
      <c r="K70" s="41"/>
      <c r="L70" s="41"/>
      <c r="M70" s="41"/>
      <c r="N70" s="41"/>
      <c r="O70" s="41"/>
      <c r="P70" s="41"/>
      <c r="Q70" s="41"/>
      <c r="R70" s="40">
        <v>39586</v>
      </c>
      <c r="S70" s="39" t="s">
        <v>1174</v>
      </c>
    </row>
    <row r="71" spans="1:19" ht="120" x14ac:dyDescent="0.25">
      <c r="A71" s="43">
        <v>5139</v>
      </c>
      <c r="B71" s="52" t="s">
        <v>1175</v>
      </c>
      <c r="C71" s="37" t="s">
        <v>1176</v>
      </c>
      <c r="D71" s="11"/>
      <c r="E71" s="44" t="s">
        <v>1177</v>
      </c>
      <c r="F71" s="44" t="s">
        <v>247</v>
      </c>
      <c r="G71" s="44" t="s">
        <v>131</v>
      </c>
      <c r="H71" s="37" t="s">
        <v>1178</v>
      </c>
      <c r="I71" s="37" t="s">
        <v>34</v>
      </c>
      <c r="J71" s="46">
        <v>40882</v>
      </c>
      <c r="K71" s="46">
        <v>40517</v>
      </c>
      <c r="L71" s="37" t="s">
        <v>52</v>
      </c>
      <c r="M71" s="48">
        <v>150</v>
      </c>
      <c r="N71" s="50">
        <v>250</v>
      </c>
      <c r="O71" s="50">
        <v>250</v>
      </c>
      <c r="P71" s="44" t="s">
        <v>1179</v>
      </c>
      <c r="Q71" s="44" t="s">
        <v>1180</v>
      </c>
      <c r="R71" s="45"/>
      <c r="S71" s="45"/>
    </row>
    <row r="72" spans="1:19" ht="75" x14ac:dyDescent="0.25">
      <c r="A72" s="37">
        <v>5140</v>
      </c>
      <c r="B72" s="37"/>
      <c r="C72" s="37" t="s">
        <v>1181</v>
      </c>
      <c r="D72" s="11"/>
      <c r="E72" s="37" t="s">
        <v>1182</v>
      </c>
      <c r="F72" s="39"/>
      <c r="G72" s="40" t="s">
        <v>1183</v>
      </c>
      <c r="H72" s="41"/>
      <c r="I72" s="41"/>
      <c r="J72" s="41"/>
      <c r="K72" s="41"/>
      <c r="L72" s="41"/>
      <c r="M72" s="41"/>
      <c r="N72" s="41"/>
      <c r="O72" s="41"/>
      <c r="P72" s="41"/>
      <c r="Q72" s="41"/>
      <c r="R72" s="40" t="s">
        <v>1183</v>
      </c>
      <c r="S72" s="39" t="s">
        <v>1184</v>
      </c>
    </row>
    <row r="73" spans="1:19" ht="90" x14ac:dyDescent="0.25">
      <c r="A73" s="37">
        <v>5148</v>
      </c>
      <c r="B73" s="37"/>
      <c r="C73" s="37" t="s">
        <v>1185</v>
      </c>
      <c r="D73" s="11"/>
      <c r="E73" s="37" t="s">
        <v>1186</v>
      </c>
      <c r="F73" s="39"/>
      <c r="G73" s="40">
        <v>39090</v>
      </c>
      <c r="H73" s="41"/>
      <c r="I73" s="41"/>
      <c r="J73" s="41"/>
      <c r="K73" s="41"/>
      <c r="L73" s="41"/>
      <c r="M73" s="41"/>
      <c r="N73" s="41"/>
      <c r="O73" s="41"/>
      <c r="P73" s="41"/>
      <c r="Q73" s="41"/>
      <c r="R73" s="40">
        <v>39090</v>
      </c>
      <c r="S73" s="39" t="s">
        <v>1187</v>
      </c>
    </row>
    <row r="74" spans="1:19" ht="75" x14ac:dyDescent="0.25">
      <c r="A74" s="37">
        <v>5151</v>
      </c>
      <c r="B74" s="37"/>
      <c r="C74" s="37" t="s">
        <v>1188</v>
      </c>
      <c r="D74" s="11"/>
      <c r="E74" s="37" t="s">
        <v>1189</v>
      </c>
      <c r="F74" s="39"/>
      <c r="G74" s="40">
        <v>39325</v>
      </c>
      <c r="H74" s="41"/>
      <c r="I74" s="41"/>
      <c r="J74" s="41"/>
      <c r="K74" s="41"/>
      <c r="L74" s="41"/>
      <c r="M74" s="41"/>
      <c r="N74" s="41"/>
      <c r="O74" s="41"/>
      <c r="P74" s="41"/>
      <c r="Q74" s="41"/>
      <c r="R74" s="40">
        <v>39325</v>
      </c>
      <c r="S74" s="39" t="s">
        <v>1190</v>
      </c>
    </row>
    <row r="75" spans="1:19" ht="75" x14ac:dyDescent="0.25">
      <c r="A75" s="37">
        <v>5152</v>
      </c>
      <c r="B75" s="37"/>
      <c r="C75" s="37" t="s">
        <v>1191</v>
      </c>
      <c r="D75" s="11"/>
      <c r="E75" s="37" t="s">
        <v>1189</v>
      </c>
      <c r="F75" s="39"/>
      <c r="G75" s="40">
        <v>39325</v>
      </c>
      <c r="H75" s="41"/>
      <c r="I75" s="41"/>
      <c r="J75" s="41"/>
      <c r="K75" s="41"/>
      <c r="L75" s="41"/>
      <c r="M75" s="41"/>
      <c r="N75" s="41"/>
      <c r="O75" s="41"/>
      <c r="P75" s="41"/>
      <c r="Q75" s="41"/>
      <c r="R75" s="40">
        <v>39325</v>
      </c>
      <c r="S75" s="39" t="s">
        <v>1190</v>
      </c>
    </row>
    <row r="76" spans="1:19" ht="105" x14ac:dyDescent="0.25">
      <c r="A76" s="37">
        <v>5158</v>
      </c>
      <c r="B76" s="37"/>
      <c r="C76" s="37" t="s">
        <v>1192</v>
      </c>
      <c r="D76" s="11"/>
      <c r="E76" s="37" t="s">
        <v>1193</v>
      </c>
      <c r="F76" s="39"/>
      <c r="G76" s="40">
        <v>39478</v>
      </c>
      <c r="H76" s="41"/>
      <c r="I76" s="41"/>
      <c r="J76" s="41"/>
      <c r="K76" s="41"/>
      <c r="L76" s="41"/>
      <c r="M76" s="41"/>
      <c r="N76" s="41"/>
      <c r="O76" s="41"/>
      <c r="P76" s="41"/>
      <c r="Q76" s="41"/>
      <c r="R76" s="40">
        <v>39478</v>
      </c>
      <c r="S76" s="39" t="s">
        <v>1194</v>
      </c>
    </row>
    <row r="77" spans="1:19" ht="75" x14ac:dyDescent="0.25">
      <c r="A77" s="43">
        <v>5159</v>
      </c>
      <c r="B77" s="52" t="s">
        <v>1195</v>
      </c>
      <c r="C77" s="37" t="s">
        <v>1196</v>
      </c>
      <c r="D77" s="11"/>
      <c r="E77" s="44" t="s">
        <v>1197</v>
      </c>
      <c r="F77" s="44" t="s">
        <v>1198</v>
      </c>
      <c r="G77" s="44" t="s">
        <v>50</v>
      </c>
      <c r="H77" s="37"/>
      <c r="I77" s="37" t="s">
        <v>21</v>
      </c>
      <c r="J77" s="46">
        <v>40983</v>
      </c>
      <c r="K77" s="53">
        <v>40565</v>
      </c>
      <c r="L77" s="37" t="s">
        <v>26</v>
      </c>
      <c r="M77" s="48">
        <v>150</v>
      </c>
      <c r="N77" s="48">
        <v>100</v>
      </c>
      <c r="O77" s="48">
        <v>100</v>
      </c>
      <c r="P77" s="37" t="s">
        <v>1199</v>
      </c>
      <c r="Q77" s="37"/>
      <c r="R77" s="45"/>
      <c r="S77" s="45"/>
    </row>
    <row r="78" spans="1:19" ht="75" x14ac:dyDescent="0.25">
      <c r="A78" s="37">
        <v>5160</v>
      </c>
      <c r="B78" s="37"/>
      <c r="C78" s="37" t="s">
        <v>1200</v>
      </c>
      <c r="D78" s="11"/>
      <c r="E78" s="37" t="s">
        <v>1201</v>
      </c>
      <c r="F78" s="39"/>
      <c r="G78" s="40" t="s">
        <v>1202</v>
      </c>
      <c r="H78" s="41"/>
      <c r="I78" s="41"/>
      <c r="J78" s="41"/>
      <c r="K78" s="41"/>
      <c r="L78" s="41"/>
      <c r="M78" s="41"/>
      <c r="N78" s="41"/>
      <c r="O78" s="41"/>
      <c r="P78" s="41"/>
      <c r="Q78" s="41"/>
      <c r="R78" s="40" t="s">
        <v>1202</v>
      </c>
      <c r="S78" s="39" t="s">
        <v>1203</v>
      </c>
    </row>
    <row r="79" spans="1:19" ht="270" x14ac:dyDescent="0.25">
      <c r="A79" s="43">
        <v>5165</v>
      </c>
      <c r="B79" s="43"/>
      <c r="C79" s="37" t="s">
        <v>1204</v>
      </c>
      <c r="D79" s="11"/>
      <c r="E79" s="44" t="s">
        <v>1205</v>
      </c>
      <c r="F79" s="44" t="s">
        <v>1206</v>
      </c>
      <c r="G79" s="44" t="s">
        <v>50</v>
      </c>
      <c r="H79" s="37"/>
      <c r="I79" s="37" t="s">
        <v>21</v>
      </c>
      <c r="J79" s="46">
        <v>40708</v>
      </c>
      <c r="K79" s="47">
        <v>40390</v>
      </c>
      <c r="L79" s="37" t="s">
        <v>26</v>
      </c>
      <c r="M79" s="48">
        <v>150</v>
      </c>
      <c r="N79" s="48">
        <v>200</v>
      </c>
      <c r="O79" s="48">
        <v>200</v>
      </c>
      <c r="P79" s="37" t="s">
        <v>1207</v>
      </c>
      <c r="Q79" s="37"/>
      <c r="R79" s="45"/>
      <c r="S79" s="45"/>
    </row>
    <row r="80" spans="1:19" ht="60" x14ac:dyDescent="0.25">
      <c r="A80" s="43">
        <v>5166</v>
      </c>
      <c r="B80" s="52" t="s">
        <v>1208</v>
      </c>
      <c r="C80" s="37" t="s">
        <v>1209</v>
      </c>
      <c r="D80" s="11"/>
      <c r="E80" s="44" t="s">
        <v>1210</v>
      </c>
      <c r="F80" s="44" t="s">
        <v>1211</v>
      </c>
      <c r="G80" s="44" t="s">
        <v>1098</v>
      </c>
      <c r="H80" s="37" t="s">
        <v>1212</v>
      </c>
      <c r="I80" s="37" t="s">
        <v>1213</v>
      </c>
      <c r="J80" s="46">
        <v>41169</v>
      </c>
      <c r="K80" s="51"/>
      <c r="L80" s="37" t="s">
        <v>1214</v>
      </c>
      <c r="M80" s="50">
        <v>150</v>
      </c>
      <c r="N80" s="50">
        <v>150</v>
      </c>
      <c r="O80" s="50"/>
      <c r="P80" s="44" t="s">
        <v>1215</v>
      </c>
      <c r="Q80" s="44"/>
      <c r="R80" s="45"/>
      <c r="S80" s="45"/>
    </row>
    <row r="81" spans="1:19" ht="90" x14ac:dyDescent="0.25">
      <c r="A81" s="43">
        <v>5169</v>
      </c>
      <c r="B81" s="52" t="s">
        <v>1216</v>
      </c>
      <c r="C81" s="37" t="s">
        <v>1217</v>
      </c>
      <c r="D81" s="11"/>
      <c r="E81" s="44" t="s">
        <v>1218</v>
      </c>
      <c r="F81" s="44" t="s">
        <v>1219</v>
      </c>
      <c r="G81" s="44" t="s">
        <v>131</v>
      </c>
      <c r="H81" s="37" t="s">
        <v>1220</v>
      </c>
      <c r="I81" s="37" t="s">
        <v>34</v>
      </c>
      <c r="J81" s="46">
        <v>41716</v>
      </c>
      <c r="K81" s="54">
        <v>41351</v>
      </c>
      <c r="L81" s="37" t="s">
        <v>26</v>
      </c>
      <c r="M81" s="48">
        <v>200</v>
      </c>
      <c r="N81" s="48">
        <v>100</v>
      </c>
      <c r="O81" s="48"/>
      <c r="P81" s="45"/>
      <c r="Q81" s="45"/>
      <c r="R81" s="45"/>
      <c r="S81" s="45"/>
    </row>
    <row r="82" spans="1:19" ht="75" x14ac:dyDescent="0.25">
      <c r="A82" s="37">
        <v>5172</v>
      </c>
      <c r="B82" s="37"/>
      <c r="C82" s="37" t="s">
        <v>1221</v>
      </c>
      <c r="D82" s="11"/>
      <c r="E82" s="37" t="s">
        <v>1222</v>
      </c>
      <c r="F82" s="39"/>
      <c r="G82" s="40">
        <v>39927</v>
      </c>
      <c r="H82" s="41"/>
      <c r="I82" s="41"/>
      <c r="J82" s="41"/>
      <c r="K82" s="41"/>
      <c r="L82" s="41"/>
      <c r="M82" s="41"/>
      <c r="N82" s="41"/>
      <c r="O82" s="41"/>
      <c r="P82" s="41"/>
      <c r="Q82" s="41"/>
      <c r="R82" s="40">
        <v>39927</v>
      </c>
      <c r="S82" s="39" t="s">
        <v>1135</v>
      </c>
    </row>
    <row r="83" spans="1:19" ht="90" x14ac:dyDescent="0.25">
      <c r="A83" s="37">
        <v>5173</v>
      </c>
      <c r="B83" s="37"/>
      <c r="C83" s="37" t="s">
        <v>1223</v>
      </c>
      <c r="D83" s="11"/>
      <c r="E83" s="37" t="s">
        <v>1224</v>
      </c>
      <c r="F83" s="45"/>
      <c r="G83" s="40">
        <v>40178</v>
      </c>
      <c r="H83" s="41"/>
      <c r="I83" s="41"/>
      <c r="J83" s="41"/>
      <c r="K83" s="41"/>
      <c r="L83" s="41"/>
      <c r="M83" s="41"/>
      <c r="N83" s="41"/>
      <c r="O83" s="41"/>
      <c r="P83" s="41"/>
      <c r="Q83" s="41"/>
      <c r="R83" s="40">
        <v>40178</v>
      </c>
      <c r="S83" s="39" t="s">
        <v>1167</v>
      </c>
    </row>
    <row r="84" spans="1:19" ht="60" x14ac:dyDescent="0.25">
      <c r="A84" s="43">
        <v>5173</v>
      </c>
      <c r="B84" s="43"/>
      <c r="C84" s="37" t="s">
        <v>1223</v>
      </c>
      <c r="D84" s="11"/>
      <c r="E84" s="44" t="s">
        <v>1224</v>
      </c>
      <c r="F84" s="39"/>
      <c r="G84" s="44" t="s">
        <v>144</v>
      </c>
      <c r="H84" s="37" t="s">
        <v>1225</v>
      </c>
      <c r="I84" s="37" t="s">
        <v>1226</v>
      </c>
      <c r="J84" s="46">
        <v>40268</v>
      </c>
      <c r="K84" s="37" t="s">
        <v>1227</v>
      </c>
      <c r="L84" s="37" t="s">
        <v>52</v>
      </c>
      <c r="M84" s="48" t="s">
        <v>1228</v>
      </c>
      <c r="N84" s="48"/>
      <c r="O84" s="37" t="s">
        <v>1229</v>
      </c>
      <c r="P84" s="37"/>
      <c r="Q84" s="45"/>
      <c r="R84" s="44" t="s">
        <v>144</v>
      </c>
      <c r="S84" s="44" t="s">
        <v>1230</v>
      </c>
    </row>
    <row r="85" spans="1:19" ht="105" x14ac:dyDescent="0.25">
      <c r="A85" s="55">
        <v>5174</v>
      </c>
      <c r="B85" s="56" t="s">
        <v>1231</v>
      </c>
      <c r="C85" s="57" t="s">
        <v>1232</v>
      </c>
      <c r="D85" s="11"/>
      <c r="E85" s="58" t="s">
        <v>1233</v>
      </c>
      <c r="F85" s="58" t="s">
        <v>121</v>
      </c>
      <c r="G85" s="58" t="s">
        <v>144</v>
      </c>
      <c r="H85" s="59" t="s">
        <v>1234</v>
      </c>
      <c r="I85" s="59" t="s">
        <v>34</v>
      </c>
      <c r="J85" s="60">
        <v>41223</v>
      </c>
      <c r="K85" s="61">
        <v>40887</v>
      </c>
      <c r="L85" s="59" t="s">
        <v>52</v>
      </c>
      <c r="M85" s="62">
        <v>250</v>
      </c>
      <c r="N85" s="62" t="s">
        <v>1235</v>
      </c>
      <c r="O85" s="62"/>
      <c r="P85" s="59" t="s">
        <v>1236</v>
      </c>
      <c r="Q85" s="59"/>
      <c r="R85" s="63"/>
      <c r="S85" s="63"/>
    </row>
    <row r="86" spans="1:19" ht="150" x14ac:dyDescent="0.25">
      <c r="A86" s="43">
        <v>5175</v>
      </c>
      <c r="B86" s="43"/>
      <c r="C86" s="37" t="s">
        <v>1237</v>
      </c>
      <c r="D86" s="11"/>
      <c r="E86" s="44" t="s">
        <v>1238</v>
      </c>
      <c r="F86" s="39"/>
      <c r="G86" s="44" t="s">
        <v>50</v>
      </c>
      <c r="H86" s="37"/>
      <c r="I86" s="37" t="s">
        <v>21</v>
      </c>
      <c r="J86" s="46">
        <v>40379</v>
      </c>
      <c r="K86" s="47">
        <v>39600</v>
      </c>
      <c r="L86" s="37" t="s">
        <v>26</v>
      </c>
      <c r="M86" s="48">
        <v>150</v>
      </c>
      <c r="N86" s="48">
        <v>100</v>
      </c>
      <c r="O86" s="48">
        <v>100</v>
      </c>
      <c r="P86" s="37" t="s">
        <v>1239</v>
      </c>
      <c r="Q86" s="37"/>
      <c r="R86" s="44" t="s">
        <v>50</v>
      </c>
      <c r="S86" s="37" t="s">
        <v>1240</v>
      </c>
    </row>
    <row r="87" spans="1:19" ht="150" x14ac:dyDescent="0.25">
      <c r="A87" s="43">
        <v>5177</v>
      </c>
      <c r="B87" s="52" t="s">
        <v>1241</v>
      </c>
      <c r="C87" s="37" t="s">
        <v>1242</v>
      </c>
      <c r="D87" s="11"/>
      <c r="E87" s="44" t="s">
        <v>1243</v>
      </c>
      <c r="F87" s="44" t="s">
        <v>58</v>
      </c>
      <c r="G87" s="44" t="s">
        <v>1244</v>
      </c>
      <c r="H87" s="37"/>
      <c r="I87" s="44" t="s">
        <v>1245</v>
      </c>
      <c r="J87" s="46">
        <v>41028</v>
      </c>
      <c r="K87" s="51">
        <v>40708</v>
      </c>
      <c r="L87" s="37" t="s">
        <v>47</v>
      </c>
      <c r="M87" s="48">
        <v>200</v>
      </c>
      <c r="N87" s="48"/>
      <c r="O87" s="48"/>
      <c r="P87" s="37" t="s">
        <v>1246</v>
      </c>
      <c r="Q87" s="37"/>
      <c r="R87" s="45"/>
      <c r="S87" s="45"/>
    </row>
    <row r="88" spans="1:19" ht="165" x14ac:dyDescent="0.25">
      <c r="A88" s="43">
        <v>5178</v>
      </c>
      <c r="B88" s="43"/>
      <c r="C88" s="37" t="s">
        <v>1247</v>
      </c>
      <c r="D88" s="11"/>
      <c r="E88" s="44" t="s">
        <v>1248</v>
      </c>
      <c r="F88" s="45"/>
      <c r="G88" s="40">
        <v>40107</v>
      </c>
      <c r="H88" s="44" t="s">
        <v>399</v>
      </c>
      <c r="I88" s="44" t="s">
        <v>50</v>
      </c>
      <c r="J88" s="37"/>
      <c r="K88" s="37" t="s">
        <v>21</v>
      </c>
      <c r="L88" s="46">
        <v>40249</v>
      </c>
      <c r="M88" s="47">
        <v>39835</v>
      </c>
      <c r="N88" s="37" t="s">
        <v>47</v>
      </c>
      <c r="O88" s="48"/>
      <c r="P88" s="48"/>
      <c r="Q88" s="37" t="s">
        <v>1249</v>
      </c>
      <c r="R88" s="40">
        <v>40107</v>
      </c>
      <c r="S88" s="39" t="s">
        <v>1135</v>
      </c>
    </row>
    <row r="89" spans="1:19" ht="105" x14ac:dyDescent="0.25">
      <c r="A89" s="43">
        <v>5179</v>
      </c>
      <c r="B89" s="52" t="s">
        <v>1250</v>
      </c>
      <c r="C89" s="37" t="s">
        <v>1251</v>
      </c>
      <c r="D89" s="11"/>
      <c r="E89" s="44" t="s">
        <v>542</v>
      </c>
      <c r="F89" s="44" t="s">
        <v>1252</v>
      </c>
      <c r="G89" s="44" t="s">
        <v>1098</v>
      </c>
      <c r="H89" s="37" t="s">
        <v>1253</v>
      </c>
      <c r="I89" s="44" t="s">
        <v>1099</v>
      </c>
      <c r="J89" s="46">
        <v>41183</v>
      </c>
      <c r="K89" s="51">
        <v>40842</v>
      </c>
      <c r="L89" s="37" t="s">
        <v>26</v>
      </c>
      <c r="M89" s="48">
        <v>200</v>
      </c>
      <c r="N89" s="48" t="s">
        <v>1254</v>
      </c>
      <c r="O89" s="48"/>
      <c r="P89" s="37" t="s">
        <v>1255</v>
      </c>
      <c r="Q89" s="37" t="s">
        <v>1256</v>
      </c>
      <c r="R89" s="45"/>
      <c r="S89" s="45"/>
    </row>
    <row r="90" spans="1:19" ht="120" x14ac:dyDescent="0.25">
      <c r="A90" s="37">
        <v>5181</v>
      </c>
      <c r="B90" s="37"/>
      <c r="C90" s="37" t="s">
        <v>1257</v>
      </c>
      <c r="D90" s="11"/>
      <c r="E90" s="37" t="s">
        <v>1258</v>
      </c>
      <c r="F90" s="45"/>
      <c r="G90" s="40" t="s">
        <v>1259</v>
      </c>
      <c r="H90" s="41"/>
      <c r="I90" s="41"/>
      <c r="J90" s="41"/>
      <c r="K90" s="41"/>
      <c r="L90" s="41"/>
      <c r="M90" s="41"/>
      <c r="N90" s="41"/>
      <c r="O90" s="41"/>
      <c r="P90" s="41"/>
      <c r="Q90" s="41"/>
      <c r="R90" s="40" t="s">
        <v>1259</v>
      </c>
      <c r="S90" s="39" t="s">
        <v>1260</v>
      </c>
    </row>
    <row r="91" spans="1:19" ht="45" x14ac:dyDescent="0.25">
      <c r="A91" s="43">
        <v>5182</v>
      </c>
      <c r="B91" s="64">
        <v>40602</v>
      </c>
      <c r="C91" s="37" t="s">
        <v>1261</v>
      </c>
      <c r="D91" s="11"/>
      <c r="E91" s="44" t="s">
        <v>1262</v>
      </c>
      <c r="F91" s="44" t="s">
        <v>1263</v>
      </c>
      <c r="G91" s="44" t="s">
        <v>50</v>
      </c>
      <c r="H91" s="37"/>
      <c r="I91" s="37" t="s">
        <v>21</v>
      </c>
      <c r="J91" s="46">
        <v>40697</v>
      </c>
      <c r="K91" s="47">
        <v>40510</v>
      </c>
      <c r="L91" s="37" t="s">
        <v>26</v>
      </c>
      <c r="M91" s="48">
        <v>150</v>
      </c>
      <c r="N91" s="48"/>
      <c r="O91" s="48"/>
      <c r="P91" s="37" t="s">
        <v>1264</v>
      </c>
      <c r="Q91" s="37"/>
      <c r="R91" s="45"/>
      <c r="S91" s="45"/>
    </row>
    <row r="92" spans="1:19" ht="135" x14ac:dyDescent="0.25">
      <c r="A92" s="43">
        <v>5185</v>
      </c>
      <c r="B92" s="52" t="s">
        <v>1265</v>
      </c>
      <c r="C92" s="37" t="s">
        <v>1266</v>
      </c>
      <c r="D92" s="11"/>
      <c r="E92" s="44" t="s">
        <v>1267</v>
      </c>
      <c r="F92" s="44" t="s">
        <v>1268</v>
      </c>
      <c r="G92" s="44" t="s">
        <v>1145</v>
      </c>
      <c r="H92" s="37" t="s">
        <v>1269</v>
      </c>
      <c r="I92" s="37" t="s">
        <v>1099</v>
      </c>
      <c r="J92" s="46">
        <v>41618</v>
      </c>
      <c r="K92" s="51">
        <v>41253</v>
      </c>
      <c r="L92" s="37" t="s">
        <v>52</v>
      </c>
      <c r="M92" s="48">
        <v>150</v>
      </c>
      <c r="N92" s="48" t="s">
        <v>1270</v>
      </c>
      <c r="O92" s="48"/>
      <c r="P92" s="65"/>
      <c r="Q92" s="65"/>
      <c r="R92" s="65"/>
      <c r="S92" s="65"/>
    </row>
    <row r="93" spans="1:19" ht="105" x14ac:dyDescent="0.25">
      <c r="A93" s="37">
        <v>5188</v>
      </c>
      <c r="B93" s="37"/>
      <c r="C93" s="37" t="s">
        <v>1271</v>
      </c>
      <c r="D93" s="11"/>
      <c r="E93" s="37" t="s">
        <v>1272</v>
      </c>
      <c r="F93" s="45"/>
      <c r="G93" s="40">
        <v>40062</v>
      </c>
      <c r="H93" s="41"/>
      <c r="I93" s="41"/>
      <c r="J93" s="41"/>
      <c r="K93" s="41"/>
      <c r="L93" s="41"/>
      <c r="M93" s="41"/>
      <c r="N93" s="41"/>
      <c r="O93" s="41"/>
      <c r="P93" s="41"/>
      <c r="Q93" s="41"/>
      <c r="R93" s="40">
        <v>40062</v>
      </c>
      <c r="S93" s="39" t="s">
        <v>1194</v>
      </c>
    </row>
    <row r="94" spans="1:19" ht="105" x14ac:dyDescent="0.25">
      <c r="A94" s="66">
        <v>5190</v>
      </c>
      <c r="B94" s="66"/>
      <c r="C94" s="67" t="s">
        <v>1273</v>
      </c>
      <c r="D94" s="11"/>
      <c r="E94" s="68" t="s">
        <v>1274</v>
      </c>
      <c r="F94" s="45"/>
      <c r="G94" s="68" t="s">
        <v>144</v>
      </c>
      <c r="H94" s="38" t="s">
        <v>1275</v>
      </c>
      <c r="I94" s="38" t="s">
        <v>34</v>
      </c>
      <c r="J94" s="69">
        <v>40548</v>
      </c>
      <c r="K94" s="69">
        <v>40228</v>
      </c>
      <c r="L94" s="38" t="s">
        <v>52</v>
      </c>
      <c r="M94" s="70">
        <v>200</v>
      </c>
      <c r="N94" s="70" t="s">
        <v>1276</v>
      </c>
      <c r="O94" s="71">
        <v>250</v>
      </c>
      <c r="P94" s="68" t="s">
        <v>1277</v>
      </c>
      <c r="Q94" s="68"/>
      <c r="R94" s="68" t="s">
        <v>144</v>
      </c>
      <c r="S94" s="68" t="s">
        <v>123</v>
      </c>
    </row>
    <row r="95" spans="1:19" ht="75" x14ac:dyDescent="0.25">
      <c r="A95" s="43">
        <v>5191</v>
      </c>
      <c r="B95" s="52" t="s">
        <v>1278</v>
      </c>
      <c r="C95" s="37" t="s">
        <v>1279</v>
      </c>
      <c r="D95" s="11"/>
      <c r="E95" s="44" t="s">
        <v>1280</v>
      </c>
      <c r="F95" s="44">
        <v>43</v>
      </c>
      <c r="G95" s="44" t="s">
        <v>1098</v>
      </c>
      <c r="H95" s="37"/>
      <c r="I95" s="37" t="s">
        <v>21</v>
      </c>
      <c r="J95" s="46">
        <v>40850</v>
      </c>
      <c r="K95" s="46">
        <v>40649</v>
      </c>
      <c r="L95" s="37" t="s">
        <v>52</v>
      </c>
      <c r="M95" s="50">
        <v>150</v>
      </c>
      <c r="N95" s="50"/>
      <c r="O95" s="50"/>
      <c r="P95" s="44" t="s">
        <v>1281</v>
      </c>
      <c r="Q95" s="44"/>
      <c r="R95" s="45"/>
      <c r="S95" s="45"/>
    </row>
    <row r="96" spans="1:19" ht="120" x14ac:dyDescent="0.25">
      <c r="A96" s="43">
        <v>5192</v>
      </c>
      <c r="B96" s="40">
        <v>40179</v>
      </c>
      <c r="C96" s="52" t="s">
        <v>1282</v>
      </c>
      <c r="D96" s="11"/>
      <c r="E96" s="44" t="s">
        <v>1283</v>
      </c>
      <c r="F96" s="72"/>
      <c r="G96" s="40">
        <v>40179</v>
      </c>
      <c r="H96" s="44">
        <v>140</v>
      </c>
      <c r="I96" s="44" t="s">
        <v>131</v>
      </c>
      <c r="J96" s="37" t="s">
        <v>1284</v>
      </c>
      <c r="K96" s="37" t="s">
        <v>34</v>
      </c>
      <c r="L96" s="46">
        <v>40282</v>
      </c>
      <c r="M96" s="46">
        <v>39926</v>
      </c>
      <c r="N96" s="44" t="s">
        <v>1140</v>
      </c>
      <c r="O96" s="50">
        <v>100</v>
      </c>
      <c r="P96" s="50">
        <v>100</v>
      </c>
      <c r="Q96" s="44" t="s">
        <v>1285</v>
      </c>
      <c r="R96" s="40">
        <v>40179</v>
      </c>
      <c r="S96" s="39" t="s">
        <v>1286</v>
      </c>
    </row>
    <row r="97" spans="1:19" ht="75" x14ac:dyDescent="0.25">
      <c r="A97" s="43">
        <v>5193</v>
      </c>
      <c r="B97" s="43"/>
      <c r="C97" s="52" t="s">
        <v>1287</v>
      </c>
      <c r="D97" s="11"/>
      <c r="E97" s="44" t="s">
        <v>1288</v>
      </c>
      <c r="F97" s="72"/>
      <c r="G97" s="44" t="s">
        <v>1289</v>
      </c>
      <c r="H97" s="37"/>
      <c r="I97" s="37" t="s">
        <v>21</v>
      </c>
      <c r="J97" s="46">
        <v>40528</v>
      </c>
      <c r="K97" s="46">
        <v>40218</v>
      </c>
      <c r="L97" s="37" t="s">
        <v>52</v>
      </c>
      <c r="M97" s="48">
        <v>150</v>
      </c>
      <c r="N97" s="48">
        <v>200</v>
      </c>
      <c r="O97" s="48">
        <v>200</v>
      </c>
      <c r="P97" s="37" t="s">
        <v>1290</v>
      </c>
      <c r="Q97" s="37"/>
      <c r="R97" s="44" t="s">
        <v>1289</v>
      </c>
      <c r="S97" s="44">
        <v>50</v>
      </c>
    </row>
    <row r="98" spans="1:19" ht="105" x14ac:dyDescent="0.25">
      <c r="A98" s="43">
        <v>5195</v>
      </c>
      <c r="B98" s="43"/>
      <c r="C98" s="52" t="s">
        <v>1291</v>
      </c>
      <c r="D98" s="2"/>
      <c r="E98" s="44" t="s">
        <v>1292</v>
      </c>
      <c r="F98" s="72"/>
      <c r="G98" s="44" t="s">
        <v>50</v>
      </c>
      <c r="H98" s="37"/>
      <c r="I98" s="37" t="s">
        <v>21</v>
      </c>
      <c r="J98" s="46">
        <v>40521</v>
      </c>
      <c r="K98" s="46">
        <v>39779</v>
      </c>
      <c r="L98" s="37" t="s">
        <v>47</v>
      </c>
      <c r="M98" s="48">
        <v>150</v>
      </c>
      <c r="N98" s="48"/>
      <c r="O98" s="48"/>
      <c r="P98" s="37" t="s">
        <v>1293</v>
      </c>
      <c r="Q98" s="37"/>
      <c r="R98" s="44" t="s">
        <v>50</v>
      </c>
      <c r="S98" s="44" t="s">
        <v>671</v>
      </c>
    </row>
    <row r="99" spans="1:19" ht="105" x14ac:dyDescent="0.25">
      <c r="A99" s="66">
        <v>5197</v>
      </c>
      <c r="B99" s="66"/>
      <c r="C99" s="67" t="s">
        <v>1294</v>
      </c>
      <c r="D99" s="11"/>
      <c r="E99" s="68" t="s">
        <v>1295</v>
      </c>
      <c r="F99" s="45"/>
      <c r="G99" s="68" t="s">
        <v>144</v>
      </c>
      <c r="H99" s="38" t="s">
        <v>1275</v>
      </c>
      <c r="I99" s="38" t="s">
        <v>34</v>
      </c>
      <c r="J99" s="69"/>
      <c r="K99" s="69">
        <v>40276</v>
      </c>
      <c r="L99" s="38" t="s">
        <v>1296</v>
      </c>
      <c r="M99" s="70"/>
      <c r="N99" s="70"/>
      <c r="O99" s="38" t="s">
        <v>1297</v>
      </c>
      <c r="P99" s="38"/>
      <c r="Q99" s="72"/>
      <c r="R99" s="68" t="s">
        <v>144</v>
      </c>
      <c r="S99" s="68" t="s">
        <v>243</v>
      </c>
    </row>
    <row r="100" spans="1:19" ht="105" x14ac:dyDescent="0.25">
      <c r="A100" s="43">
        <v>5210</v>
      </c>
      <c r="B100" s="43"/>
      <c r="C100" s="52" t="s">
        <v>1298</v>
      </c>
      <c r="D100" s="11"/>
      <c r="E100" s="44" t="s">
        <v>1299</v>
      </c>
      <c r="F100" s="45"/>
      <c r="G100" s="44" t="s">
        <v>1300</v>
      </c>
      <c r="H100" s="37" t="s">
        <v>1301</v>
      </c>
      <c r="I100" s="37" t="s">
        <v>34</v>
      </c>
      <c r="J100" s="46">
        <v>40358</v>
      </c>
      <c r="K100" s="46">
        <v>40024</v>
      </c>
      <c r="L100" s="37" t="s">
        <v>47</v>
      </c>
      <c r="M100" s="48">
        <v>200</v>
      </c>
      <c r="N100" s="48"/>
      <c r="O100" s="48"/>
      <c r="P100" s="37"/>
      <c r="Q100" s="37"/>
      <c r="R100" s="44" t="s">
        <v>1300</v>
      </c>
      <c r="S100" s="44" t="s">
        <v>1302</v>
      </c>
    </row>
    <row r="101" spans="1:19" ht="90" x14ac:dyDescent="0.25">
      <c r="A101" s="43">
        <v>5211</v>
      </c>
      <c r="B101" s="52" t="s">
        <v>1303</v>
      </c>
      <c r="C101" s="52" t="s">
        <v>1304</v>
      </c>
      <c r="D101" s="11"/>
      <c r="E101" s="44" t="s">
        <v>1305</v>
      </c>
      <c r="F101" s="37" t="s">
        <v>1306</v>
      </c>
      <c r="G101" s="44" t="s">
        <v>1307</v>
      </c>
      <c r="H101" s="37" t="s">
        <v>1308</v>
      </c>
      <c r="I101" s="37" t="s">
        <v>34</v>
      </c>
      <c r="J101" s="46">
        <v>41117</v>
      </c>
      <c r="K101" s="51">
        <v>40774</v>
      </c>
      <c r="L101" s="37" t="s">
        <v>26</v>
      </c>
      <c r="M101" s="48">
        <v>150</v>
      </c>
      <c r="N101" s="48" t="s">
        <v>1309</v>
      </c>
      <c r="O101" s="48">
        <v>0</v>
      </c>
      <c r="P101" s="37" t="s">
        <v>1310</v>
      </c>
      <c r="Q101" s="37" t="s">
        <v>1311</v>
      </c>
      <c r="R101" s="45"/>
      <c r="S101" s="45"/>
    </row>
    <row r="102" spans="1:19" ht="60" x14ac:dyDescent="0.25">
      <c r="A102" s="43">
        <v>5214</v>
      </c>
      <c r="B102" s="52" t="s">
        <v>1312</v>
      </c>
      <c r="C102" s="52" t="s">
        <v>1313</v>
      </c>
      <c r="D102" s="11"/>
      <c r="E102" s="44" t="s">
        <v>1314</v>
      </c>
      <c r="F102" s="44" t="s">
        <v>1198</v>
      </c>
      <c r="G102" s="44" t="s">
        <v>1289</v>
      </c>
      <c r="H102" s="37"/>
      <c r="I102" s="37" t="s">
        <v>34</v>
      </c>
      <c r="J102" s="46">
        <v>40884</v>
      </c>
      <c r="K102" s="46">
        <v>40507</v>
      </c>
      <c r="L102" s="37" t="s">
        <v>52</v>
      </c>
      <c r="M102" s="48">
        <v>200</v>
      </c>
      <c r="N102" s="48"/>
      <c r="O102" s="48"/>
      <c r="P102" s="37" t="s">
        <v>1315</v>
      </c>
      <c r="Q102" s="37"/>
      <c r="R102" s="45"/>
      <c r="S102" s="45"/>
    </row>
    <row r="103" spans="1:19" x14ac:dyDescent="0.25">
      <c r="A103" s="43">
        <v>5223</v>
      </c>
      <c r="B103" s="43"/>
      <c r="C103" s="52" t="s">
        <v>1316</v>
      </c>
      <c r="D103" s="2"/>
      <c r="E103" s="44" t="s">
        <v>270</v>
      </c>
      <c r="F103" s="44"/>
      <c r="G103" s="44"/>
      <c r="H103" s="37"/>
      <c r="I103" s="37"/>
      <c r="J103" s="46"/>
      <c r="K103" s="51"/>
      <c r="L103" s="37"/>
      <c r="M103" s="48"/>
      <c r="N103" s="48"/>
      <c r="O103" s="48"/>
      <c r="P103" s="45"/>
      <c r="Q103" s="45"/>
      <c r="R103" s="45"/>
      <c r="S103" s="45"/>
    </row>
    <row r="104" spans="1:19" ht="90" x14ac:dyDescent="0.25">
      <c r="A104" s="43">
        <v>5225</v>
      </c>
      <c r="B104" s="43"/>
      <c r="C104" s="52" t="s">
        <v>1317</v>
      </c>
      <c r="D104" s="11"/>
      <c r="E104" s="44" t="s">
        <v>1318</v>
      </c>
      <c r="F104" s="45"/>
      <c r="G104" s="44" t="s">
        <v>55</v>
      </c>
      <c r="H104" s="73" t="s">
        <v>1319</v>
      </c>
      <c r="I104" s="37" t="s">
        <v>34</v>
      </c>
      <c r="J104" s="46">
        <v>40575</v>
      </c>
      <c r="K104" s="46">
        <v>40206</v>
      </c>
      <c r="L104" s="37" t="s">
        <v>47</v>
      </c>
      <c r="M104" s="48"/>
      <c r="N104" s="74">
        <v>100</v>
      </c>
      <c r="O104" s="48">
        <v>0</v>
      </c>
      <c r="P104" s="73" t="s">
        <v>1320</v>
      </c>
      <c r="Q104" s="37"/>
      <c r="R104" s="44" t="s">
        <v>55</v>
      </c>
      <c r="S104" s="44">
        <v>116</v>
      </c>
    </row>
    <row r="105" spans="1:19" ht="120" x14ac:dyDescent="0.25">
      <c r="A105" s="75">
        <v>5231</v>
      </c>
      <c r="B105" s="76" t="s">
        <v>1321</v>
      </c>
      <c r="C105" s="52" t="s">
        <v>1322</v>
      </c>
      <c r="D105" s="11"/>
      <c r="E105" s="44" t="s">
        <v>1323</v>
      </c>
      <c r="F105" s="44" t="s">
        <v>1324</v>
      </c>
      <c r="G105" s="44" t="s">
        <v>202</v>
      </c>
      <c r="H105" s="37" t="s">
        <v>1325</v>
      </c>
      <c r="I105" s="37" t="s">
        <v>1099</v>
      </c>
      <c r="J105" s="46">
        <v>41061</v>
      </c>
      <c r="K105" s="51">
        <v>40683</v>
      </c>
      <c r="L105" s="37" t="s">
        <v>52</v>
      </c>
      <c r="M105" s="48">
        <v>200</v>
      </c>
      <c r="N105" s="48">
        <v>50</v>
      </c>
      <c r="O105" s="48">
        <v>50</v>
      </c>
      <c r="P105" s="37" t="s">
        <v>1326</v>
      </c>
      <c r="Q105" s="37"/>
      <c r="R105" s="65"/>
      <c r="S105" s="65"/>
    </row>
    <row r="106" spans="1:19" ht="90" x14ac:dyDescent="0.25">
      <c r="A106" s="43">
        <v>5233</v>
      </c>
      <c r="B106" s="64">
        <v>40596</v>
      </c>
      <c r="C106" s="52" t="s">
        <v>1327</v>
      </c>
      <c r="D106" s="11"/>
      <c r="E106" s="44" t="s">
        <v>1328</v>
      </c>
      <c r="F106" s="44" t="s">
        <v>1329</v>
      </c>
      <c r="G106" s="44" t="s">
        <v>50</v>
      </c>
      <c r="H106" s="37"/>
      <c r="I106" s="37" t="s">
        <v>1330</v>
      </c>
      <c r="J106" s="46">
        <v>40816</v>
      </c>
      <c r="K106" s="46">
        <v>40422</v>
      </c>
      <c r="L106" s="37"/>
      <c r="M106" s="48">
        <v>150</v>
      </c>
      <c r="N106" s="48"/>
      <c r="O106" s="48"/>
      <c r="P106" s="37" t="s">
        <v>1331</v>
      </c>
      <c r="Q106" s="37"/>
      <c r="R106" s="45"/>
      <c r="S106" s="45"/>
    </row>
    <row r="107" spans="1:19" ht="60" x14ac:dyDescent="0.25">
      <c r="A107" s="43">
        <v>5244</v>
      </c>
      <c r="B107" s="64">
        <v>40787</v>
      </c>
      <c r="C107" s="52" t="s">
        <v>1332</v>
      </c>
      <c r="D107" s="11"/>
      <c r="E107" s="44" t="s">
        <v>1333</v>
      </c>
      <c r="F107" s="44" t="s">
        <v>312</v>
      </c>
      <c r="G107" s="44" t="s">
        <v>1145</v>
      </c>
      <c r="H107" s="37"/>
      <c r="I107" s="37"/>
      <c r="J107" s="46"/>
      <c r="K107" s="51"/>
      <c r="L107" s="37"/>
      <c r="M107" s="48">
        <v>200</v>
      </c>
      <c r="N107" s="48"/>
      <c r="O107" s="48"/>
      <c r="P107" s="45"/>
      <c r="Q107" s="45"/>
      <c r="R107" s="45"/>
      <c r="S107" s="45"/>
    </row>
    <row r="108" spans="1:19" ht="75" x14ac:dyDescent="0.25">
      <c r="A108" s="43">
        <v>5248</v>
      </c>
      <c r="B108" s="76" t="s">
        <v>1334</v>
      </c>
      <c r="C108" s="52" t="s">
        <v>1335</v>
      </c>
      <c r="D108" s="11"/>
      <c r="E108" s="44" t="s">
        <v>1336</v>
      </c>
      <c r="F108" s="44" t="s">
        <v>58</v>
      </c>
      <c r="G108" s="44" t="s">
        <v>1244</v>
      </c>
      <c r="H108" s="37" t="s">
        <v>1337</v>
      </c>
      <c r="I108" s="37" t="s">
        <v>361</v>
      </c>
      <c r="J108" s="46">
        <v>41438</v>
      </c>
      <c r="K108" s="51">
        <v>41072</v>
      </c>
      <c r="L108" s="37" t="s">
        <v>52</v>
      </c>
      <c r="M108" s="48">
        <v>200</v>
      </c>
      <c r="N108" s="48" t="s">
        <v>1338</v>
      </c>
      <c r="O108" s="48">
        <v>0</v>
      </c>
      <c r="P108" s="37" t="s">
        <v>1339</v>
      </c>
      <c r="Q108" s="37"/>
      <c r="R108" s="45"/>
      <c r="S108" s="45"/>
    </row>
    <row r="109" spans="1:19" ht="75" x14ac:dyDescent="0.25">
      <c r="A109" s="43">
        <v>5249</v>
      </c>
      <c r="B109" s="76" t="s">
        <v>1334</v>
      </c>
      <c r="C109" s="52" t="s">
        <v>1340</v>
      </c>
      <c r="D109" s="11"/>
      <c r="E109" s="44" t="s">
        <v>1336</v>
      </c>
      <c r="F109" s="44" t="s">
        <v>346</v>
      </c>
      <c r="G109" s="44" t="s">
        <v>1244</v>
      </c>
      <c r="H109" s="37" t="s">
        <v>1337</v>
      </c>
      <c r="I109" s="37" t="s">
        <v>361</v>
      </c>
      <c r="J109" s="46">
        <v>41438</v>
      </c>
      <c r="K109" s="51">
        <v>41072</v>
      </c>
      <c r="L109" s="37" t="s">
        <v>52</v>
      </c>
      <c r="M109" s="48">
        <v>200</v>
      </c>
      <c r="N109" s="48"/>
      <c r="O109" s="48"/>
      <c r="P109" s="37"/>
      <c r="Q109" s="37"/>
      <c r="R109" s="45"/>
      <c r="S109" s="45"/>
    </row>
    <row r="110" spans="1:19" ht="75" x14ac:dyDescent="0.25">
      <c r="A110" s="43">
        <v>5250</v>
      </c>
      <c r="B110" s="76" t="s">
        <v>1334</v>
      </c>
      <c r="C110" s="52" t="s">
        <v>1341</v>
      </c>
      <c r="D110" s="11"/>
      <c r="E110" s="44" t="s">
        <v>1336</v>
      </c>
      <c r="F110" s="44" t="s">
        <v>58</v>
      </c>
      <c r="G110" s="44" t="s">
        <v>1244</v>
      </c>
      <c r="H110" s="37" t="s">
        <v>1337</v>
      </c>
      <c r="I110" s="37" t="s">
        <v>361</v>
      </c>
      <c r="J110" s="46">
        <v>41438</v>
      </c>
      <c r="K110" s="51">
        <v>41072</v>
      </c>
      <c r="L110" s="37" t="s">
        <v>52</v>
      </c>
      <c r="M110" s="48">
        <v>200</v>
      </c>
      <c r="N110" s="48"/>
      <c r="O110" s="48"/>
      <c r="P110" s="37"/>
      <c r="Q110" s="37"/>
      <c r="R110" s="45"/>
      <c r="S110" s="45"/>
    </row>
    <row r="111" spans="1:19" ht="60" x14ac:dyDescent="0.25">
      <c r="A111" s="75">
        <v>5304</v>
      </c>
      <c r="B111" s="64">
        <v>41487</v>
      </c>
      <c r="C111" s="52" t="s">
        <v>1342</v>
      </c>
      <c r="D111" s="11"/>
      <c r="E111" s="44" t="s">
        <v>383</v>
      </c>
      <c r="F111" s="44" t="s">
        <v>77</v>
      </c>
      <c r="G111" s="44" t="s">
        <v>131</v>
      </c>
      <c r="H111" s="37" t="s">
        <v>1343</v>
      </c>
      <c r="I111" s="37" t="s">
        <v>34</v>
      </c>
      <c r="J111" s="46">
        <v>41851</v>
      </c>
      <c r="K111" s="51"/>
      <c r="L111" s="37" t="s">
        <v>47</v>
      </c>
      <c r="M111" s="48"/>
      <c r="N111" s="48"/>
      <c r="O111" s="48"/>
      <c r="P111" s="45"/>
      <c r="Q111" s="45"/>
      <c r="R111" s="45"/>
      <c r="S111" s="45"/>
    </row>
    <row r="112" spans="1:19" ht="75" x14ac:dyDescent="0.25">
      <c r="A112" s="43">
        <v>5404</v>
      </c>
      <c r="B112" s="43" t="s">
        <v>1344</v>
      </c>
      <c r="C112" s="37" t="s">
        <v>1345</v>
      </c>
      <c r="D112" s="11"/>
      <c r="E112" s="44" t="s">
        <v>520</v>
      </c>
      <c r="F112" s="44" t="s">
        <v>58</v>
      </c>
      <c r="G112" s="44" t="s">
        <v>213</v>
      </c>
      <c r="H112" s="37" t="s">
        <v>1346</v>
      </c>
      <c r="I112" s="37" t="s">
        <v>21</v>
      </c>
      <c r="J112" s="46">
        <v>40967</v>
      </c>
      <c r="K112" s="53">
        <v>40604</v>
      </c>
      <c r="L112" s="37" t="s">
        <v>26</v>
      </c>
      <c r="M112" s="48"/>
      <c r="N112" s="48"/>
      <c r="O112" s="48"/>
      <c r="P112" s="37"/>
      <c r="Q112" s="37"/>
      <c r="R112" s="45"/>
      <c r="S112" s="45"/>
    </row>
    <row r="113" spans="1:19" ht="60" x14ac:dyDescent="0.25">
      <c r="A113" s="43">
        <v>5405</v>
      </c>
      <c r="B113" s="43"/>
      <c r="C113" s="37" t="s">
        <v>524</v>
      </c>
      <c r="D113" s="11"/>
      <c r="E113" s="44" t="s">
        <v>520</v>
      </c>
      <c r="F113" s="45"/>
      <c r="G113" s="44" t="s">
        <v>55</v>
      </c>
      <c r="H113" s="37" t="s">
        <v>526</v>
      </c>
      <c r="I113" s="37" t="s">
        <v>21</v>
      </c>
      <c r="J113" s="46">
        <v>40238</v>
      </c>
      <c r="K113" s="46">
        <v>40239</v>
      </c>
      <c r="L113" s="37" t="s">
        <v>52</v>
      </c>
      <c r="M113" s="50"/>
      <c r="N113" s="50"/>
      <c r="O113" s="44"/>
      <c r="P113" s="44"/>
      <c r="Q113" s="45"/>
      <c r="R113" s="44" t="s">
        <v>55</v>
      </c>
      <c r="S113" s="37" t="s">
        <v>525</v>
      </c>
    </row>
    <row r="114" spans="1:19" ht="60" x14ac:dyDescent="0.25">
      <c r="A114" s="43">
        <v>5414</v>
      </c>
      <c r="B114" s="64">
        <v>40968</v>
      </c>
      <c r="C114" s="37" t="s">
        <v>1347</v>
      </c>
      <c r="D114" s="11"/>
      <c r="E114" s="44" t="s">
        <v>520</v>
      </c>
      <c r="F114" s="44" t="s">
        <v>1348</v>
      </c>
      <c r="G114" s="44" t="s">
        <v>50</v>
      </c>
      <c r="H114" s="37" t="s">
        <v>1349</v>
      </c>
      <c r="I114" s="37" t="s">
        <v>1350</v>
      </c>
      <c r="J114" s="44"/>
      <c r="K114" s="51"/>
      <c r="L114" s="44"/>
      <c r="M114" s="50"/>
      <c r="N114" s="50"/>
      <c r="O114" s="50"/>
      <c r="P114" s="44"/>
      <c r="Q114" s="44"/>
      <c r="R114" s="45"/>
      <c r="S114" s="45"/>
    </row>
    <row r="115" spans="1:19" ht="60" x14ac:dyDescent="0.25">
      <c r="A115" s="43">
        <v>5426</v>
      </c>
      <c r="B115" s="43"/>
      <c r="C115" s="37" t="s">
        <v>1351</v>
      </c>
      <c r="D115" s="11"/>
      <c r="E115" s="44" t="s">
        <v>520</v>
      </c>
      <c r="F115" s="44" t="s">
        <v>1211</v>
      </c>
      <c r="G115" s="44" t="s">
        <v>1352</v>
      </c>
      <c r="H115" s="37" t="s">
        <v>1212</v>
      </c>
      <c r="I115" s="37" t="s">
        <v>1353</v>
      </c>
      <c r="J115" s="46">
        <v>41169</v>
      </c>
      <c r="K115" s="51"/>
      <c r="L115" s="44"/>
      <c r="M115" s="50"/>
      <c r="N115" s="50"/>
      <c r="O115" s="50"/>
      <c r="P115" s="45"/>
      <c r="Q115" s="45"/>
      <c r="R115" s="45"/>
      <c r="S115" s="45"/>
    </row>
    <row r="116" spans="1:19" ht="60" x14ac:dyDescent="0.25">
      <c r="A116" s="43">
        <v>5427</v>
      </c>
      <c r="B116" s="52" t="s">
        <v>1354</v>
      </c>
      <c r="C116" s="37" t="s">
        <v>1355</v>
      </c>
      <c r="D116" s="11"/>
      <c r="E116" s="44" t="s">
        <v>520</v>
      </c>
      <c r="F116" s="44"/>
      <c r="G116" s="44" t="s">
        <v>1145</v>
      </c>
      <c r="H116" s="37"/>
      <c r="I116" s="37" t="s">
        <v>1099</v>
      </c>
      <c r="J116" s="46">
        <v>41426</v>
      </c>
      <c r="K116" s="51">
        <v>41010</v>
      </c>
      <c r="L116" s="37" t="s">
        <v>47</v>
      </c>
      <c r="M116" s="50"/>
      <c r="N116" s="50"/>
      <c r="O116" s="50"/>
      <c r="P116" s="44"/>
      <c r="Q116" s="44"/>
      <c r="R116" s="77"/>
      <c r="S116" s="77"/>
    </row>
    <row r="117" spans="1:19" ht="60" x14ac:dyDescent="0.25">
      <c r="A117" s="43">
        <v>5259</v>
      </c>
      <c r="B117" s="76" t="s">
        <v>1356</v>
      </c>
      <c r="C117" s="52" t="s">
        <v>1357</v>
      </c>
      <c r="D117" s="11"/>
      <c r="E117" s="44" t="s">
        <v>1358</v>
      </c>
      <c r="F117" s="44" t="s">
        <v>188</v>
      </c>
      <c r="G117" s="44" t="s">
        <v>202</v>
      </c>
      <c r="H117" s="37" t="s">
        <v>1359</v>
      </c>
      <c r="I117" s="37" t="s">
        <v>34</v>
      </c>
      <c r="J117" s="46">
        <v>41927</v>
      </c>
      <c r="K117" s="51">
        <v>41574</v>
      </c>
      <c r="L117" s="37" t="s">
        <v>26</v>
      </c>
      <c r="M117" s="48">
        <v>200</v>
      </c>
      <c r="N117" s="48"/>
      <c r="O117" s="48"/>
      <c r="P117" s="63"/>
      <c r="Q117" s="63"/>
      <c r="R117" s="63"/>
      <c r="S117" s="63"/>
    </row>
    <row r="118" spans="1:19" ht="105" x14ac:dyDescent="0.25">
      <c r="A118" s="43">
        <v>5239</v>
      </c>
      <c r="B118" s="76" t="s">
        <v>1360</v>
      </c>
      <c r="C118" s="52" t="s">
        <v>1361</v>
      </c>
      <c r="D118" s="11"/>
      <c r="E118" s="44" t="s">
        <v>308</v>
      </c>
      <c r="F118" s="37" t="s">
        <v>1362</v>
      </c>
      <c r="G118" s="44" t="s">
        <v>202</v>
      </c>
      <c r="H118" s="37" t="s">
        <v>1363</v>
      </c>
      <c r="I118" s="44"/>
      <c r="J118" s="37" t="s">
        <v>1099</v>
      </c>
      <c r="K118" s="46">
        <v>41758</v>
      </c>
      <c r="L118" s="51">
        <v>41393</v>
      </c>
      <c r="M118" s="37" t="s">
        <v>1364</v>
      </c>
      <c r="N118" s="48">
        <v>200</v>
      </c>
      <c r="O118" s="48"/>
      <c r="P118" s="48"/>
      <c r="Q118" s="45"/>
      <c r="R118" s="45"/>
      <c r="S118" s="45"/>
    </row>
    <row r="119" spans="1:19" ht="105" x14ac:dyDescent="0.25">
      <c r="A119" s="43">
        <v>5241</v>
      </c>
      <c r="B119" s="76" t="s">
        <v>1360</v>
      </c>
      <c r="C119" s="52" t="s">
        <v>1365</v>
      </c>
      <c r="D119" s="11"/>
      <c r="E119" s="44" t="s">
        <v>308</v>
      </c>
      <c r="F119" s="44">
        <v>0</v>
      </c>
      <c r="G119" s="44" t="s">
        <v>202</v>
      </c>
      <c r="H119" s="37" t="s">
        <v>1363</v>
      </c>
      <c r="I119" s="44"/>
      <c r="J119" s="37" t="s">
        <v>1099</v>
      </c>
      <c r="K119" s="46">
        <v>41758</v>
      </c>
      <c r="L119" s="51">
        <v>41393</v>
      </c>
      <c r="M119" s="37" t="s">
        <v>1364</v>
      </c>
      <c r="N119" s="48">
        <v>200</v>
      </c>
      <c r="O119" s="48"/>
      <c r="P119" s="48"/>
      <c r="Q119" s="45"/>
      <c r="R119" s="45"/>
      <c r="S119" s="45"/>
    </row>
    <row r="120" spans="1:19" ht="105" x14ac:dyDescent="0.25">
      <c r="A120" s="55">
        <v>5153</v>
      </c>
      <c r="B120" s="56" t="s">
        <v>1366</v>
      </c>
      <c r="C120" s="57" t="s">
        <v>1367</v>
      </c>
      <c r="D120" s="11"/>
      <c r="E120" s="58" t="s">
        <v>1368</v>
      </c>
      <c r="F120" s="58" t="s">
        <v>1369</v>
      </c>
      <c r="G120" s="58" t="s">
        <v>144</v>
      </c>
      <c r="H120" s="59" t="s">
        <v>1370</v>
      </c>
      <c r="I120" s="44"/>
      <c r="J120" s="59" t="s">
        <v>34</v>
      </c>
      <c r="K120" s="60">
        <v>41988</v>
      </c>
      <c r="L120" s="78">
        <v>41623</v>
      </c>
      <c r="M120" s="59" t="s">
        <v>47</v>
      </c>
      <c r="N120" s="62">
        <v>200</v>
      </c>
      <c r="O120" s="62">
        <v>200</v>
      </c>
      <c r="P120" s="62">
        <v>200</v>
      </c>
      <c r="Q120" s="63"/>
      <c r="R120" s="63"/>
      <c r="S120" s="63"/>
    </row>
    <row r="121" spans="1:19" ht="165" x14ac:dyDescent="0.25">
      <c r="A121" s="55">
        <v>5189</v>
      </c>
      <c r="B121" s="56" t="s">
        <v>1371</v>
      </c>
      <c r="C121" s="79" t="s">
        <v>1372</v>
      </c>
      <c r="D121" s="272"/>
      <c r="E121" s="58" t="s">
        <v>1373</v>
      </c>
      <c r="F121" s="59" t="s">
        <v>1374</v>
      </c>
      <c r="G121" s="58" t="s">
        <v>1375</v>
      </c>
      <c r="H121" s="59" t="s">
        <v>1376</v>
      </c>
      <c r="I121" s="44"/>
      <c r="J121" s="59" t="s">
        <v>34</v>
      </c>
      <c r="K121" s="60">
        <v>41698</v>
      </c>
      <c r="L121" s="61">
        <v>41624</v>
      </c>
      <c r="M121" s="59" t="s">
        <v>26</v>
      </c>
      <c r="N121" s="62">
        <v>200</v>
      </c>
      <c r="O121" s="62" t="s">
        <v>1377</v>
      </c>
      <c r="P121" s="62">
        <v>0</v>
      </c>
      <c r="Q121" s="63"/>
      <c r="R121" s="63"/>
      <c r="S121" s="63"/>
    </row>
    <row r="122" spans="1:19" ht="150" x14ac:dyDescent="0.25">
      <c r="A122" s="75">
        <v>5297</v>
      </c>
      <c r="B122" s="76" t="s">
        <v>1378</v>
      </c>
      <c r="C122" s="52" t="s">
        <v>1379</v>
      </c>
      <c r="D122" s="2"/>
      <c r="E122" s="44" t="s">
        <v>1380</v>
      </c>
      <c r="F122" s="44" t="s">
        <v>1348</v>
      </c>
      <c r="G122" s="44" t="s">
        <v>1098</v>
      </c>
      <c r="H122" s="37"/>
      <c r="I122" s="44" t="s">
        <v>24</v>
      </c>
      <c r="J122" s="37" t="s">
        <v>361</v>
      </c>
      <c r="K122" s="46">
        <v>42035</v>
      </c>
      <c r="L122" s="51">
        <v>41685</v>
      </c>
      <c r="M122" s="37" t="s">
        <v>52</v>
      </c>
      <c r="N122" s="48">
        <v>200</v>
      </c>
      <c r="O122" s="48" t="s">
        <v>1381</v>
      </c>
      <c r="P122" s="48" t="s">
        <v>1381</v>
      </c>
      <c r="Q122" s="45"/>
      <c r="R122" s="45"/>
      <c r="S122" s="45"/>
    </row>
    <row r="123" spans="1:19" ht="75" x14ac:dyDescent="0.25">
      <c r="A123" s="75">
        <v>5298</v>
      </c>
      <c r="B123" s="76" t="s">
        <v>1378</v>
      </c>
      <c r="C123" s="52" t="s">
        <v>1382</v>
      </c>
      <c r="D123" s="2"/>
      <c r="E123" s="44" t="s">
        <v>1380</v>
      </c>
      <c r="F123" s="44" t="s">
        <v>194</v>
      </c>
      <c r="G123" s="44" t="s">
        <v>1098</v>
      </c>
      <c r="H123" s="37"/>
      <c r="I123" s="44" t="s">
        <v>64</v>
      </c>
      <c r="J123" s="37" t="s">
        <v>361</v>
      </c>
      <c r="K123" s="46">
        <v>42035</v>
      </c>
      <c r="L123" s="51">
        <v>41685</v>
      </c>
      <c r="M123" s="37" t="s">
        <v>52</v>
      </c>
      <c r="N123" s="48">
        <v>200</v>
      </c>
      <c r="O123" s="48"/>
      <c r="P123" s="48"/>
      <c r="Q123" s="45"/>
      <c r="R123" s="45"/>
      <c r="S123" s="45"/>
    </row>
    <row r="124" spans="1:19" ht="75" x14ac:dyDescent="0.25">
      <c r="A124" s="75">
        <v>5299</v>
      </c>
      <c r="B124" s="76" t="s">
        <v>1378</v>
      </c>
      <c r="C124" s="52" t="s">
        <v>1383</v>
      </c>
      <c r="D124" s="11"/>
      <c r="E124" s="44" t="s">
        <v>1380</v>
      </c>
      <c r="F124" s="44" t="s">
        <v>481</v>
      </c>
      <c r="G124" s="44" t="s">
        <v>1098</v>
      </c>
      <c r="H124" s="37"/>
      <c r="I124" s="44" t="s">
        <v>71</v>
      </c>
      <c r="J124" s="37" t="s">
        <v>361</v>
      </c>
      <c r="K124" s="46">
        <v>42035</v>
      </c>
      <c r="L124" s="51">
        <v>41685</v>
      </c>
      <c r="M124" s="37" t="s">
        <v>52</v>
      </c>
      <c r="N124" s="48">
        <v>200</v>
      </c>
      <c r="O124" s="48"/>
      <c r="P124" s="48"/>
      <c r="Q124" s="45"/>
      <c r="R124" s="45"/>
      <c r="S124" s="45"/>
    </row>
    <row r="125" spans="1:19" ht="90" x14ac:dyDescent="0.25">
      <c r="A125" s="43">
        <v>5242</v>
      </c>
      <c r="B125" s="76" t="s">
        <v>1384</v>
      </c>
      <c r="C125" s="52" t="s">
        <v>1385</v>
      </c>
      <c r="D125" s="11"/>
      <c r="E125" s="44" t="s">
        <v>285</v>
      </c>
      <c r="F125" s="44" t="s">
        <v>1386</v>
      </c>
      <c r="G125" s="44" t="s">
        <v>144</v>
      </c>
      <c r="H125" s="44" t="s">
        <v>144</v>
      </c>
      <c r="I125" s="44" t="s">
        <v>71</v>
      </c>
      <c r="J125" s="37"/>
      <c r="K125" s="46"/>
      <c r="L125" s="51"/>
      <c r="M125" s="37"/>
      <c r="N125" s="48"/>
      <c r="O125" s="48"/>
      <c r="P125" s="48"/>
      <c r="Q125" s="48"/>
      <c r="R125" s="45"/>
      <c r="S125" s="45"/>
    </row>
    <row r="126" spans="1:19" ht="225" x14ac:dyDescent="0.25">
      <c r="A126" s="75">
        <v>5319</v>
      </c>
      <c r="B126" s="76" t="s">
        <v>1387</v>
      </c>
      <c r="C126" s="52" t="s">
        <v>1388</v>
      </c>
      <c r="D126" s="2"/>
      <c r="E126" s="44" t="s">
        <v>1389</v>
      </c>
      <c r="F126" s="44" t="s">
        <v>1390</v>
      </c>
      <c r="G126" s="44" t="s">
        <v>235</v>
      </c>
      <c r="H126" s="80" t="s">
        <v>1391</v>
      </c>
      <c r="I126" s="45" t="s">
        <v>33</v>
      </c>
      <c r="J126" s="37" t="s">
        <v>34</v>
      </c>
      <c r="K126" s="46">
        <v>42004</v>
      </c>
      <c r="L126" s="51">
        <v>41913</v>
      </c>
      <c r="M126" s="37" t="s">
        <v>26</v>
      </c>
      <c r="N126" s="48">
        <v>200</v>
      </c>
      <c r="O126" s="48">
        <v>150</v>
      </c>
      <c r="P126" s="48">
        <v>50</v>
      </c>
      <c r="Q126" s="48" t="s">
        <v>29</v>
      </c>
      <c r="R126" s="45"/>
      <c r="S126" s="45"/>
    </row>
    <row r="127" spans="1:19" ht="60" x14ac:dyDescent="0.25">
      <c r="A127" s="75">
        <v>5294</v>
      </c>
      <c r="B127" s="76" t="s">
        <v>1392</v>
      </c>
      <c r="C127" s="52" t="s">
        <v>1393</v>
      </c>
      <c r="D127" s="11"/>
      <c r="E127" s="44" t="s">
        <v>1394</v>
      </c>
      <c r="F127" s="44" t="s">
        <v>1395</v>
      </c>
      <c r="G127" s="44" t="s">
        <v>116</v>
      </c>
      <c r="H127" s="37"/>
      <c r="I127" s="44" t="s">
        <v>33</v>
      </c>
      <c r="J127" s="37" t="s">
        <v>361</v>
      </c>
      <c r="K127" s="46">
        <v>42281</v>
      </c>
      <c r="L127" s="81">
        <v>41780</v>
      </c>
      <c r="M127" s="37" t="s">
        <v>47</v>
      </c>
      <c r="N127" s="48">
        <v>200</v>
      </c>
      <c r="O127" s="48"/>
      <c r="P127" s="48"/>
      <c r="Q127" s="48" t="s">
        <v>35</v>
      </c>
      <c r="R127" s="45"/>
      <c r="S127" s="45"/>
    </row>
    <row r="128" spans="1:19" ht="75" x14ac:dyDescent="0.25">
      <c r="A128" s="75">
        <v>5434</v>
      </c>
      <c r="B128" s="64"/>
      <c r="C128" s="52" t="s">
        <v>1396</v>
      </c>
      <c r="D128" s="11"/>
      <c r="E128" s="44" t="s">
        <v>1397</v>
      </c>
      <c r="F128" s="37" t="s">
        <v>1398</v>
      </c>
      <c r="G128" s="44" t="s">
        <v>55</v>
      </c>
      <c r="H128" s="37"/>
      <c r="I128" s="37"/>
      <c r="J128" s="37" t="s">
        <v>1399</v>
      </c>
      <c r="K128" s="46"/>
      <c r="L128" s="51"/>
      <c r="M128" s="37"/>
      <c r="N128" s="48"/>
      <c r="O128" s="48"/>
      <c r="P128" s="48"/>
      <c r="Q128" s="48"/>
      <c r="R128" s="45"/>
      <c r="S128" s="45"/>
    </row>
    <row r="129" spans="1:19" ht="60" x14ac:dyDescent="0.25">
      <c r="A129" s="43">
        <v>5430</v>
      </c>
      <c r="B129" s="43"/>
      <c r="C129" s="37" t="s">
        <v>1400</v>
      </c>
      <c r="D129" s="11"/>
      <c r="E129" s="44" t="s">
        <v>520</v>
      </c>
      <c r="F129" s="37"/>
      <c r="G129" s="44" t="s">
        <v>1352</v>
      </c>
      <c r="H129" s="37"/>
      <c r="I129" s="37"/>
      <c r="J129" s="37"/>
      <c r="K129" s="46"/>
      <c r="L129" s="51"/>
      <c r="M129" s="37"/>
      <c r="N129" s="48"/>
      <c r="O129" s="50"/>
      <c r="P129" s="50"/>
      <c r="Q129" s="50"/>
      <c r="R129" s="45"/>
      <c r="S129" s="45"/>
    </row>
    <row r="130" spans="1:19" ht="60" x14ac:dyDescent="0.25">
      <c r="A130" s="75">
        <v>5333</v>
      </c>
      <c r="B130" s="76" t="s">
        <v>1401</v>
      </c>
      <c r="C130" s="37" t="s">
        <v>1400</v>
      </c>
      <c r="D130" s="11"/>
      <c r="E130" s="44" t="s">
        <v>1402</v>
      </c>
      <c r="F130" s="44" t="s">
        <v>425</v>
      </c>
      <c r="G130" s="44" t="s">
        <v>1145</v>
      </c>
      <c r="H130" s="45"/>
      <c r="I130" s="82" t="s">
        <v>39</v>
      </c>
      <c r="J130" s="37" t="s">
        <v>1099</v>
      </c>
      <c r="K130" s="46">
        <v>42277</v>
      </c>
      <c r="L130" s="51">
        <v>41920</v>
      </c>
      <c r="M130" s="37" t="s">
        <v>47</v>
      </c>
      <c r="N130" s="48">
        <v>200</v>
      </c>
      <c r="O130" s="48"/>
      <c r="P130" s="48"/>
      <c r="Q130" s="48"/>
      <c r="R130" s="45"/>
      <c r="S130" s="45"/>
    </row>
    <row r="131" spans="1:19" ht="45" x14ac:dyDescent="0.25">
      <c r="A131" s="75">
        <v>5334</v>
      </c>
      <c r="B131" s="76" t="s">
        <v>1403</v>
      </c>
      <c r="C131" s="52" t="s">
        <v>1404</v>
      </c>
      <c r="D131" s="11"/>
      <c r="E131" s="44" t="s">
        <v>1402</v>
      </c>
      <c r="F131" s="44" t="s">
        <v>515</v>
      </c>
      <c r="G131" s="44" t="s">
        <v>1145</v>
      </c>
      <c r="H131" s="45"/>
      <c r="I131" s="82" t="s">
        <v>39</v>
      </c>
      <c r="J131" s="37" t="s">
        <v>1099</v>
      </c>
      <c r="K131" s="46">
        <v>42277</v>
      </c>
      <c r="L131" s="51">
        <v>41920</v>
      </c>
      <c r="M131" s="37" t="s">
        <v>47</v>
      </c>
      <c r="N131" s="48">
        <v>200</v>
      </c>
      <c r="O131" s="48"/>
      <c r="P131" s="48"/>
      <c r="Q131" s="48"/>
      <c r="R131" s="45"/>
      <c r="S131" s="45"/>
    </row>
    <row r="132" spans="1:19" ht="159" customHeight="1" x14ac:dyDescent="0.25">
      <c r="A132" s="43">
        <v>5251</v>
      </c>
      <c r="B132" s="76" t="s">
        <v>1405</v>
      </c>
      <c r="C132" s="52" t="s">
        <v>1406</v>
      </c>
      <c r="D132" s="11"/>
      <c r="E132" s="44" t="s">
        <v>1407</v>
      </c>
      <c r="F132" s="37" t="s">
        <v>1408</v>
      </c>
      <c r="G132" s="44" t="s">
        <v>116</v>
      </c>
      <c r="H132" s="37"/>
      <c r="I132" s="82" t="s">
        <v>33</v>
      </c>
      <c r="J132" s="37" t="s">
        <v>34</v>
      </c>
      <c r="K132" s="83">
        <v>42184</v>
      </c>
      <c r="L132" s="54">
        <v>41819</v>
      </c>
      <c r="M132" s="37" t="s">
        <v>26</v>
      </c>
      <c r="N132" s="48">
        <v>200</v>
      </c>
      <c r="O132" s="48"/>
      <c r="P132" s="48"/>
      <c r="Q132" s="48" t="s">
        <v>29</v>
      </c>
      <c r="R132" s="45"/>
      <c r="S132" s="45"/>
    </row>
    <row r="133" spans="1:19" ht="45" x14ac:dyDescent="0.25">
      <c r="A133" s="75">
        <v>5313</v>
      </c>
      <c r="B133" s="76" t="s">
        <v>1409</v>
      </c>
      <c r="C133" s="52" t="s">
        <v>1410</v>
      </c>
      <c r="D133" s="11"/>
      <c r="E133" s="44" t="s">
        <v>1411</v>
      </c>
      <c r="F133" s="44" t="s">
        <v>428</v>
      </c>
      <c r="G133" s="44" t="s">
        <v>116</v>
      </c>
      <c r="H133" s="45"/>
      <c r="I133" s="82" t="s">
        <v>33</v>
      </c>
      <c r="J133" s="37" t="s">
        <v>25</v>
      </c>
      <c r="K133" s="46">
        <v>42337</v>
      </c>
      <c r="L133" s="51">
        <v>41631</v>
      </c>
      <c r="M133" s="37" t="s">
        <v>52</v>
      </c>
      <c r="N133" s="48">
        <v>200</v>
      </c>
      <c r="O133" s="48">
        <v>200</v>
      </c>
      <c r="P133" s="48"/>
      <c r="Q133" s="48" t="s">
        <v>35</v>
      </c>
      <c r="R133" s="45"/>
      <c r="S133" s="45"/>
    </row>
    <row r="134" spans="1:19" ht="60" x14ac:dyDescent="0.25">
      <c r="A134" s="75" t="s">
        <v>1412</v>
      </c>
      <c r="B134" s="76" t="s">
        <v>1409</v>
      </c>
      <c r="C134" s="52" t="s">
        <v>1413</v>
      </c>
      <c r="D134" s="11"/>
      <c r="E134" s="44" t="s">
        <v>1414</v>
      </c>
      <c r="F134" s="44" t="s">
        <v>77</v>
      </c>
      <c r="G134" s="44" t="s">
        <v>55</v>
      </c>
      <c r="H134" s="37"/>
      <c r="I134" s="82"/>
      <c r="J134" s="37" t="s">
        <v>34</v>
      </c>
      <c r="K134" s="46">
        <v>42590</v>
      </c>
      <c r="L134" s="51">
        <v>42224</v>
      </c>
      <c r="M134" s="37" t="s">
        <v>47</v>
      </c>
      <c r="N134" s="48">
        <v>200</v>
      </c>
      <c r="O134" s="48" t="s">
        <v>199</v>
      </c>
      <c r="P134" s="50"/>
      <c r="Q134" s="50"/>
      <c r="R134" s="45"/>
      <c r="S134" s="45"/>
    </row>
    <row r="135" spans="1:19" ht="120" x14ac:dyDescent="0.25">
      <c r="A135" s="75">
        <v>5340</v>
      </c>
      <c r="B135" s="76" t="s">
        <v>1415</v>
      </c>
      <c r="C135" s="52" t="s">
        <v>1416</v>
      </c>
      <c r="D135" s="11"/>
      <c r="E135" s="44" t="s">
        <v>543</v>
      </c>
      <c r="F135" s="44" t="s">
        <v>22</v>
      </c>
      <c r="G135" s="84" t="s">
        <v>1417</v>
      </c>
      <c r="H135" s="80" t="s">
        <v>1418</v>
      </c>
      <c r="I135" s="82" t="s">
        <v>420</v>
      </c>
      <c r="J135" s="37" t="s">
        <v>34</v>
      </c>
      <c r="K135" s="46">
        <v>42675</v>
      </c>
      <c r="L135" s="51">
        <v>42336</v>
      </c>
      <c r="M135" s="37" t="s">
        <v>52</v>
      </c>
      <c r="N135" s="48">
        <v>200</v>
      </c>
      <c r="O135" s="48"/>
      <c r="P135" s="48"/>
      <c r="Q135" s="48"/>
      <c r="R135" s="45"/>
      <c r="S135" s="45"/>
    </row>
    <row r="136" spans="1:19" ht="120" x14ac:dyDescent="0.25">
      <c r="A136" s="75">
        <v>5341</v>
      </c>
      <c r="B136" s="76" t="s">
        <v>1415</v>
      </c>
      <c r="C136" s="52" t="s">
        <v>1419</v>
      </c>
      <c r="D136" s="11"/>
      <c r="E136" s="44" t="s">
        <v>543</v>
      </c>
      <c r="F136" s="44" t="s">
        <v>1420</v>
      </c>
      <c r="G136" s="44" t="s">
        <v>139</v>
      </c>
      <c r="H136" s="80" t="s">
        <v>1418</v>
      </c>
      <c r="I136" s="82" t="s">
        <v>420</v>
      </c>
      <c r="J136" s="37" t="s">
        <v>34</v>
      </c>
      <c r="K136" s="46">
        <v>42309</v>
      </c>
      <c r="L136" s="51">
        <v>42336</v>
      </c>
      <c r="M136" s="37" t="s">
        <v>52</v>
      </c>
      <c r="N136" s="48">
        <v>200</v>
      </c>
      <c r="O136" s="48"/>
      <c r="P136" s="48"/>
      <c r="Q136" s="48"/>
      <c r="R136" s="45"/>
      <c r="S136" s="45"/>
    </row>
    <row r="137" spans="1:19" ht="75" x14ac:dyDescent="0.25">
      <c r="A137" s="75" t="s">
        <v>1421</v>
      </c>
      <c r="B137" s="76" t="s">
        <v>1422</v>
      </c>
      <c r="C137" s="52" t="s">
        <v>1423</v>
      </c>
      <c r="D137" s="11"/>
      <c r="E137" s="44" t="s">
        <v>1424</v>
      </c>
      <c r="F137" s="44" t="s">
        <v>1425</v>
      </c>
      <c r="G137" s="44" t="s">
        <v>116</v>
      </c>
      <c r="H137" s="37" t="s">
        <v>1426</v>
      </c>
      <c r="I137" s="82" t="s">
        <v>39</v>
      </c>
      <c r="J137" s="37" t="s">
        <v>34</v>
      </c>
      <c r="K137" s="46">
        <v>42674</v>
      </c>
      <c r="L137" s="51">
        <v>42314</v>
      </c>
      <c r="M137" s="37" t="s">
        <v>26</v>
      </c>
      <c r="N137" s="48">
        <v>200</v>
      </c>
      <c r="O137" s="48"/>
      <c r="P137" s="48"/>
      <c r="Q137" s="48" t="s">
        <v>29</v>
      </c>
      <c r="R137" s="45"/>
      <c r="S137" s="45"/>
    </row>
    <row r="138" spans="1:19" ht="45" x14ac:dyDescent="0.25">
      <c r="A138" s="75" t="s">
        <v>1427</v>
      </c>
      <c r="B138" s="64"/>
      <c r="C138" s="52" t="s">
        <v>1428</v>
      </c>
      <c r="D138" s="2"/>
      <c r="E138" s="44" t="s">
        <v>1429</v>
      </c>
      <c r="F138" s="44"/>
      <c r="G138" s="44" t="s">
        <v>139</v>
      </c>
      <c r="H138" s="37" t="s">
        <v>1430</v>
      </c>
      <c r="I138" s="82" t="s">
        <v>71</v>
      </c>
      <c r="J138" s="37" t="s">
        <v>1099</v>
      </c>
      <c r="K138" s="46">
        <v>42704</v>
      </c>
      <c r="L138" s="46"/>
      <c r="M138" s="85" t="s">
        <v>1431</v>
      </c>
      <c r="N138" s="37" t="s">
        <v>52</v>
      </c>
      <c r="O138" s="48">
        <v>200</v>
      </c>
      <c r="P138" s="48"/>
      <c r="Q138" s="48"/>
      <c r="R138" s="48"/>
      <c r="S138" s="45"/>
    </row>
    <row r="139" spans="1:19" ht="75" x14ac:dyDescent="0.25">
      <c r="A139" s="75" t="s">
        <v>1432</v>
      </c>
      <c r="B139" s="76" t="s">
        <v>1433</v>
      </c>
      <c r="C139" s="52" t="s">
        <v>1434</v>
      </c>
      <c r="D139" s="2"/>
      <c r="E139" s="44" t="s">
        <v>1435</v>
      </c>
      <c r="F139" s="44" t="s">
        <v>326</v>
      </c>
      <c r="G139" s="44" t="s">
        <v>116</v>
      </c>
      <c r="H139" s="37"/>
      <c r="I139" s="82" t="s">
        <v>39</v>
      </c>
      <c r="J139" s="37" t="s">
        <v>34</v>
      </c>
      <c r="K139" s="46">
        <v>42756</v>
      </c>
      <c r="L139" s="51">
        <v>42400</v>
      </c>
      <c r="M139" s="37" t="s">
        <v>47</v>
      </c>
      <c r="N139" s="48">
        <v>200</v>
      </c>
      <c r="O139" s="48">
        <v>200</v>
      </c>
      <c r="P139" s="48"/>
      <c r="Q139" s="48" t="s">
        <v>29</v>
      </c>
      <c r="R139" s="45"/>
      <c r="S139" s="45"/>
    </row>
    <row r="140" spans="1:19" ht="60" x14ac:dyDescent="0.25">
      <c r="A140" s="86">
        <v>5329</v>
      </c>
      <c r="B140" s="87" t="s">
        <v>1436</v>
      </c>
      <c r="C140" s="88" t="s">
        <v>1437</v>
      </c>
      <c r="D140" s="11"/>
      <c r="E140" s="89" t="s">
        <v>1438</v>
      </c>
      <c r="F140" s="89" t="s">
        <v>1439</v>
      </c>
      <c r="G140" s="89" t="s">
        <v>202</v>
      </c>
      <c r="H140" s="90" t="s">
        <v>1440</v>
      </c>
      <c r="I140" s="91" t="s">
        <v>33</v>
      </c>
      <c r="J140" s="92" t="s">
        <v>34</v>
      </c>
      <c r="K140" s="93">
        <v>42666</v>
      </c>
      <c r="L140" s="93">
        <v>42187</v>
      </c>
      <c r="M140" s="94">
        <v>42297</v>
      </c>
      <c r="N140" s="92" t="s">
        <v>52</v>
      </c>
      <c r="O140" s="95">
        <v>200</v>
      </c>
      <c r="P140" s="95"/>
      <c r="Q140" s="95"/>
      <c r="R140" s="95"/>
      <c r="S140" s="96"/>
    </row>
    <row r="141" spans="1:19" ht="60" x14ac:dyDescent="0.25">
      <c r="A141" s="75">
        <v>5356</v>
      </c>
      <c r="B141" s="64">
        <v>42186</v>
      </c>
      <c r="C141" s="52" t="s">
        <v>1441</v>
      </c>
      <c r="D141" s="11"/>
      <c r="E141" s="44" t="s">
        <v>1442</v>
      </c>
      <c r="F141" s="37" t="s">
        <v>1443</v>
      </c>
      <c r="G141" s="84" t="s">
        <v>23</v>
      </c>
      <c r="H141" s="80" t="s">
        <v>1444</v>
      </c>
      <c r="I141" s="82" t="s">
        <v>39</v>
      </c>
      <c r="J141" s="37"/>
      <c r="K141" s="46"/>
      <c r="L141" s="46"/>
      <c r="M141" s="54"/>
      <c r="N141" s="37"/>
      <c r="O141" s="48">
        <v>200</v>
      </c>
      <c r="P141" s="48"/>
      <c r="Q141" s="48"/>
      <c r="R141" s="48"/>
      <c r="S141" s="45"/>
    </row>
    <row r="142" spans="1:19" ht="75" x14ac:dyDescent="0.25">
      <c r="A142" s="75">
        <v>5435</v>
      </c>
      <c r="B142" s="64">
        <v>41791</v>
      </c>
      <c r="C142" s="97" t="s">
        <v>1445</v>
      </c>
      <c r="D142" s="11"/>
      <c r="E142" s="44" t="s">
        <v>1397</v>
      </c>
      <c r="F142" s="37" t="s">
        <v>549</v>
      </c>
      <c r="G142" s="44" t="s">
        <v>1352</v>
      </c>
      <c r="H142" s="37"/>
      <c r="I142" s="82"/>
      <c r="J142" s="37" t="s">
        <v>34</v>
      </c>
      <c r="K142" s="46">
        <v>42522</v>
      </c>
      <c r="L142" s="46"/>
      <c r="M142" s="51">
        <v>41780</v>
      </c>
      <c r="N142" s="37" t="s">
        <v>1446</v>
      </c>
      <c r="O142" s="48"/>
      <c r="P142" s="48"/>
      <c r="Q142" s="48"/>
      <c r="R142" s="48"/>
      <c r="S142" s="45"/>
    </row>
    <row r="143" spans="1:19" ht="195" x14ac:dyDescent="0.25">
      <c r="A143" s="43">
        <v>5217</v>
      </c>
      <c r="B143" s="98" t="s">
        <v>1447</v>
      </c>
      <c r="C143" s="52" t="s">
        <v>1448</v>
      </c>
      <c r="D143" s="11"/>
      <c r="E143" s="44" t="s">
        <v>1449</v>
      </c>
      <c r="F143" s="37" t="s">
        <v>1450</v>
      </c>
      <c r="G143" s="44" t="s">
        <v>50</v>
      </c>
      <c r="H143" s="37" t="s">
        <v>1451</v>
      </c>
      <c r="I143" s="99" t="s">
        <v>33</v>
      </c>
      <c r="J143" s="37" t="s">
        <v>34</v>
      </c>
      <c r="K143" s="46">
        <v>42719</v>
      </c>
      <c r="L143" s="46">
        <v>41964</v>
      </c>
      <c r="M143" s="51">
        <v>42353</v>
      </c>
      <c r="N143" s="37" t="s">
        <v>47</v>
      </c>
      <c r="O143" s="48">
        <v>200</v>
      </c>
      <c r="P143" s="48">
        <v>100</v>
      </c>
      <c r="Q143" s="48">
        <v>100</v>
      </c>
      <c r="R143" s="48" t="s">
        <v>29</v>
      </c>
      <c r="S143" s="45"/>
    </row>
    <row r="144" spans="1:19" ht="75" x14ac:dyDescent="0.25">
      <c r="A144" s="75">
        <v>5436</v>
      </c>
      <c r="B144" s="64">
        <v>41791</v>
      </c>
      <c r="C144" s="97" t="s">
        <v>1452</v>
      </c>
      <c r="D144" s="11"/>
      <c r="E144" s="44" t="s">
        <v>1397</v>
      </c>
      <c r="F144" s="37" t="s">
        <v>1453</v>
      </c>
      <c r="G144" s="44" t="s">
        <v>1352</v>
      </c>
      <c r="H144" s="37"/>
      <c r="I144" s="82"/>
      <c r="J144" s="37" t="s">
        <v>34</v>
      </c>
      <c r="K144" s="46">
        <v>42522</v>
      </c>
      <c r="L144" s="46"/>
      <c r="M144" s="51">
        <v>41557</v>
      </c>
      <c r="N144" s="37" t="s">
        <v>1446</v>
      </c>
      <c r="O144" s="48"/>
      <c r="P144" s="48"/>
      <c r="Q144" s="48"/>
      <c r="R144" s="48"/>
      <c r="S144" s="45"/>
    </row>
    <row r="145" spans="1:21" ht="75" x14ac:dyDescent="0.25">
      <c r="A145" s="75">
        <v>5437</v>
      </c>
      <c r="B145" s="64">
        <v>41791</v>
      </c>
      <c r="C145" s="97" t="s">
        <v>1454</v>
      </c>
      <c r="D145" s="11"/>
      <c r="E145" s="44" t="s">
        <v>1397</v>
      </c>
      <c r="F145" s="37" t="s">
        <v>1453</v>
      </c>
      <c r="G145" s="44" t="s">
        <v>1352</v>
      </c>
      <c r="H145" s="37"/>
      <c r="I145" s="82"/>
      <c r="J145" s="37" t="s">
        <v>34</v>
      </c>
      <c r="K145" s="46">
        <v>42522</v>
      </c>
      <c r="L145" s="46"/>
      <c r="M145" s="51">
        <v>41557</v>
      </c>
      <c r="N145" s="37" t="s">
        <v>1446</v>
      </c>
      <c r="O145" s="48"/>
      <c r="P145" s="48"/>
      <c r="Q145" s="48"/>
      <c r="R145" s="48"/>
      <c r="S145" s="45"/>
    </row>
    <row r="146" spans="1:21" ht="75" x14ac:dyDescent="0.25">
      <c r="A146" s="75">
        <v>5438</v>
      </c>
      <c r="B146" s="64">
        <v>41791</v>
      </c>
      <c r="C146" s="97" t="s">
        <v>1455</v>
      </c>
      <c r="D146" s="11"/>
      <c r="E146" s="45"/>
      <c r="F146" s="37" t="s">
        <v>1456</v>
      </c>
      <c r="G146" s="44" t="s">
        <v>1352</v>
      </c>
      <c r="H146" s="37"/>
      <c r="I146" s="82"/>
      <c r="J146" s="37" t="s">
        <v>34</v>
      </c>
      <c r="K146" s="46">
        <v>42522</v>
      </c>
      <c r="L146" s="46"/>
      <c r="M146" s="51">
        <v>41557</v>
      </c>
      <c r="N146" s="37" t="s">
        <v>1457</v>
      </c>
      <c r="O146" s="48"/>
      <c r="P146" s="48"/>
      <c r="Q146" s="48"/>
      <c r="R146" s="48"/>
      <c r="S146" s="45"/>
    </row>
    <row r="147" spans="1:21" ht="75" x14ac:dyDescent="0.25">
      <c r="A147" s="43">
        <v>5206</v>
      </c>
      <c r="B147" s="98" t="s">
        <v>1458</v>
      </c>
      <c r="C147" s="52" t="s">
        <v>1459</v>
      </c>
      <c r="D147" s="11"/>
      <c r="E147" s="44" t="s">
        <v>1460</v>
      </c>
      <c r="F147" s="44" t="s">
        <v>1461</v>
      </c>
      <c r="G147" s="37" t="s">
        <v>1462</v>
      </c>
      <c r="H147" s="37" t="s">
        <v>1463</v>
      </c>
      <c r="I147" s="82" t="s">
        <v>60</v>
      </c>
      <c r="J147" s="37" t="s">
        <v>34</v>
      </c>
      <c r="K147" s="46">
        <v>42679</v>
      </c>
      <c r="L147" s="46">
        <v>42319</v>
      </c>
      <c r="M147" s="51">
        <v>42374</v>
      </c>
      <c r="N147" s="37" t="s">
        <v>47</v>
      </c>
      <c r="O147" s="48">
        <v>200</v>
      </c>
      <c r="P147" s="48" t="s">
        <v>1464</v>
      </c>
      <c r="Q147" s="48" t="s">
        <v>1464</v>
      </c>
      <c r="R147" s="48" t="s">
        <v>29</v>
      </c>
      <c r="S147" s="45"/>
    </row>
    <row r="148" spans="1:21" ht="90" x14ac:dyDescent="0.25">
      <c r="A148" s="100">
        <v>5305</v>
      </c>
      <c r="B148" s="101" t="s">
        <v>1465</v>
      </c>
      <c r="C148" s="102" t="s">
        <v>1466</v>
      </c>
      <c r="D148" s="11"/>
      <c r="E148" s="103" t="s">
        <v>1467</v>
      </c>
      <c r="F148" s="103" t="s">
        <v>1468</v>
      </c>
      <c r="G148" s="103" t="s">
        <v>490</v>
      </c>
      <c r="H148" s="84" t="s">
        <v>1469</v>
      </c>
      <c r="I148" s="104" t="s">
        <v>60</v>
      </c>
      <c r="J148" s="84" t="s">
        <v>34</v>
      </c>
      <c r="K148" s="105">
        <v>42675</v>
      </c>
      <c r="L148" s="105" t="s">
        <v>1470</v>
      </c>
      <c r="M148" s="106">
        <v>42266</v>
      </c>
      <c r="N148" s="84" t="s">
        <v>26</v>
      </c>
      <c r="O148" s="107">
        <v>200</v>
      </c>
      <c r="P148" s="108" t="s">
        <v>1471</v>
      </c>
      <c r="Q148" s="107"/>
      <c r="R148" s="107" t="s">
        <v>35</v>
      </c>
      <c r="S148" s="77"/>
    </row>
    <row r="149" spans="1:21" ht="135" x14ac:dyDescent="0.25">
      <c r="A149" s="75">
        <v>5357</v>
      </c>
      <c r="B149" s="76" t="s">
        <v>1472</v>
      </c>
      <c r="C149" s="52" t="s">
        <v>1473</v>
      </c>
      <c r="D149" s="2"/>
      <c r="E149" s="44" t="s">
        <v>1474</v>
      </c>
      <c r="F149" s="37" t="s">
        <v>1475</v>
      </c>
      <c r="G149" s="44" t="s">
        <v>490</v>
      </c>
      <c r="H149" s="80" t="s">
        <v>1476</v>
      </c>
      <c r="I149" s="82" t="s">
        <v>60</v>
      </c>
      <c r="J149" s="37" t="s">
        <v>34</v>
      </c>
      <c r="K149" s="46">
        <v>42911</v>
      </c>
      <c r="L149" s="46"/>
      <c r="M149" s="54">
        <v>42588</v>
      </c>
      <c r="N149" s="37" t="s">
        <v>454</v>
      </c>
      <c r="O149" s="48">
        <v>200</v>
      </c>
      <c r="P149" s="48"/>
      <c r="Q149" s="48"/>
      <c r="R149" s="48"/>
      <c r="S149" s="22"/>
    </row>
    <row r="150" spans="1:21" ht="90" x14ac:dyDescent="0.25">
      <c r="A150" s="109">
        <v>5316</v>
      </c>
      <c r="B150" s="110">
        <v>41730</v>
      </c>
      <c r="C150" s="111" t="s">
        <v>1477</v>
      </c>
      <c r="D150" s="399"/>
      <c r="E150" s="112" t="s">
        <v>1478</v>
      </c>
      <c r="F150" s="112"/>
      <c r="G150" s="112" t="s">
        <v>490</v>
      </c>
      <c r="H150" s="113" t="s">
        <v>1479</v>
      </c>
      <c r="I150" s="114" t="s">
        <v>60</v>
      </c>
      <c r="J150" s="115" t="s">
        <v>34</v>
      </c>
      <c r="K150" s="116">
        <v>42675</v>
      </c>
      <c r="L150" s="116"/>
      <c r="M150" s="117"/>
      <c r="N150" s="115"/>
      <c r="O150" s="118">
        <v>200</v>
      </c>
      <c r="P150" s="118"/>
      <c r="Q150" s="118"/>
      <c r="R150" s="118"/>
      <c r="S150" s="22"/>
    </row>
    <row r="151" spans="1:21" ht="105" x14ac:dyDescent="0.25">
      <c r="A151" s="52" t="s">
        <v>1480</v>
      </c>
      <c r="B151" s="52" t="s">
        <v>1481</v>
      </c>
      <c r="C151" s="52" t="s">
        <v>1482</v>
      </c>
      <c r="D151" s="11"/>
      <c r="E151" s="44" t="s">
        <v>1429</v>
      </c>
      <c r="F151" s="37" t="s">
        <v>1483</v>
      </c>
      <c r="G151" s="44" t="s">
        <v>139</v>
      </c>
      <c r="H151" s="37" t="s">
        <v>1430</v>
      </c>
      <c r="I151" s="82" t="s">
        <v>24</v>
      </c>
      <c r="J151" s="37" t="s">
        <v>1099</v>
      </c>
      <c r="K151" s="46">
        <v>42704</v>
      </c>
      <c r="L151" s="46">
        <v>42338</v>
      </c>
      <c r="M151" s="85">
        <v>42369</v>
      </c>
      <c r="N151" s="37" t="s">
        <v>52</v>
      </c>
      <c r="O151" s="48">
        <v>200</v>
      </c>
      <c r="P151" s="48" t="s">
        <v>1484</v>
      </c>
      <c r="Q151" s="48">
        <v>0</v>
      </c>
      <c r="R151" s="48" t="s">
        <v>29</v>
      </c>
      <c r="S151" s="22"/>
    </row>
    <row r="152" spans="1:21" ht="45" x14ac:dyDescent="0.25">
      <c r="A152" s="75" t="s">
        <v>1485</v>
      </c>
      <c r="B152" s="64"/>
      <c r="C152" s="52" t="s">
        <v>1486</v>
      </c>
      <c r="D152" s="2"/>
      <c r="E152" s="44" t="s">
        <v>1429</v>
      </c>
      <c r="F152" s="44"/>
      <c r="G152" s="44" t="s">
        <v>139</v>
      </c>
      <c r="H152" s="37" t="s">
        <v>1430</v>
      </c>
      <c r="I152" s="82" t="s">
        <v>64</v>
      </c>
      <c r="J152" s="37" t="s">
        <v>1099</v>
      </c>
      <c r="K152" s="46">
        <v>42704</v>
      </c>
      <c r="L152" s="46"/>
      <c r="M152" s="85" t="s">
        <v>1431</v>
      </c>
      <c r="N152" s="37" t="s">
        <v>52</v>
      </c>
      <c r="O152" s="48"/>
      <c r="P152" s="48"/>
      <c r="Q152" s="48"/>
      <c r="R152" s="48"/>
      <c r="S152" s="22"/>
    </row>
    <row r="153" spans="1:21" ht="60" x14ac:dyDescent="0.25">
      <c r="A153" s="75">
        <v>5361</v>
      </c>
      <c r="B153" s="76" t="s">
        <v>1487</v>
      </c>
      <c r="C153" s="52" t="s">
        <v>1488</v>
      </c>
      <c r="D153" s="11"/>
      <c r="E153" s="44" t="s">
        <v>1489</v>
      </c>
      <c r="F153" s="37" t="s">
        <v>219</v>
      </c>
      <c r="G153" s="44" t="s">
        <v>116</v>
      </c>
      <c r="H153" s="80"/>
      <c r="I153" s="82" t="s">
        <v>33</v>
      </c>
      <c r="J153" s="37" t="s">
        <v>34</v>
      </c>
      <c r="K153" s="46">
        <v>42944</v>
      </c>
      <c r="L153" s="46"/>
      <c r="M153" s="54">
        <v>42596</v>
      </c>
      <c r="N153" s="37"/>
      <c r="O153" s="48">
        <v>200</v>
      </c>
      <c r="P153" s="48"/>
      <c r="Q153" s="48"/>
      <c r="R153" s="48"/>
      <c r="S153" s="22"/>
    </row>
    <row r="154" spans="1:21" ht="210" x14ac:dyDescent="0.25">
      <c r="A154" s="119" t="s">
        <v>1490</v>
      </c>
      <c r="B154" s="87" t="s">
        <v>1491</v>
      </c>
      <c r="C154" s="88" t="s">
        <v>1492</v>
      </c>
      <c r="D154" s="11"/>
      <c r="E154" s="89" t="s">
        <v>1493</v>
      </c>
      <c r="F154" s="89" t="s">
        <v>1494</v>
      </c>
      <c r="G154" s="89" t="s">
        <v>1495</v>
      </c>
      <c r="H154" s="92" t="s">
        <v>1496</v>
      </c>
      <c r="I154" s="120" t="s">
        <v>33</v>
      </c>
      <c r="J154" s="92" t="s">
        <v>34</v>
      </c>
      <c r="K154" s="93">
        <v>42767</v>
      </c>
      <c r="L154" s="93">
        <v>42129</v>
      </c>
      <c r="M154" s="94">
        <v>42432</v>
      </c>
      <c r="N154" s="92" t="s">
        <v>26</v>
      </c>
      <c r="O154" s="95">
        <v>200</v>
      </c>
      <c r="P154" s="95" t="s">
        <v>1497</v>
      </c>
      <c r="Q154" s="95">
        <v>0</v>
      </c>
      <c r="R154" s="95" t="s">
        <v>35</v>
      </c>
      <c r="S154" s="27">
        <v>42521</v>
      </c>
      <c r="T154" s="121">
        <f>EDATE(S154,2)</f>
        <v>42582</v>
      </c>
      <c r="U154" s="28">
        <v>42579</v>
      </c>
    </row>
    <row r="155" spans="1:21" ht="60" x14ac:dyDescent="0.25">
      <c r="A155" s="75">
        <v>5343</v>
      </c>
      <c r="B155" s="76" t="s">
        <v>1498</v>
      </c>
      <c r="C155" s="52" t="s">
        <v>1499</v>
      </c>
      <c r="D155" s="11"/>
      <c r="E155" s="44" t="s">
        <v>1500</v>
      </c>
      <c r="F155" s="44" t="s">
        <v>1501</v>
      </c>
      <c r="G155" s="44" t="s">
        <v>116</v>
      </c>
      <c r="H155" s="80" t="s">
        <v>1502</v>
      </c>
      <c r="I155" s="82" t="s">
        <v>33</v>
      </c>
      <c r="J155" s="37" t="s">
        <v>34</v>
      </c>
      <c r="K155" s="46">
        <v>42814</v>
      </c>
      <c r="L155" s="46"/>
      <c r="M155" s="54">
        <v>42769</v>
      </c>
      <c r="N155" s="37" t="s">
        <v>26</v>
      </c>
      <c r="O155" s="48">
        <v>200</v>
      </c>
      <c r="P155" s="48"/>
      <c r="Q155" s="48"/>
      <c r="R155" s="48"/>
      <c r="S155" s="27">
        <v>42704</v>
      </c>
      <c r="T155" s="121">
        <f>EDATE(S155,2)</f>
        <v>42765</v>
      </c>
      <c r="U155" s="28">
        <v>42312</v>
      </c>
    </row>
    <row r="156" spans="1:21" s="24" customFormat="1" ht="150" x14ac:dyDescent="0.25">
      <c r="A156" s="122" t="s">
        <v>1503</v>
      </c>
      <c r="B156" s="123" t="s">
        <v>1504</v>
      </c>
      <c r="C156" s="124" t="s">
        <v>1505</v>
      </c>
      <c r="D156" s="11"/>
      <c r="E156" s="125" t="s">
        <v>1506</v>
      </c>
      <c r="F156" s="126" t="s">
        <v>1507</v>
      </c>
      <c r="G156" s="125" t="s">
        <v>131</v>
      </c>
      <c r="H156" s="127" t="s">
        <v>1508</v>
      </c>
      <c r="I156" s="128" t="s">
        <v>583</v>
      </c>
      <c r="J156" s="126" t="s">
        <v>34</v>
      </c>
      <c r="K156" s="129">
        <v>43149</v>
      </c>
      <c r="L156" s="129"/>
      <c r="M156" s="130" t="s">
        <v>1509</v>
      </c>
      <c r="N156" s="126" t="s">
        <v>52</v>
      </c>
      <c r="O156" s="131">
        <v>200</v>
      </c>
      <c r="P156" s="131">
        <v>150</v>
      </c>
      <c r="Q156" s="131">
        <v>0</v>
      </c>
      <c r="R156" s="131" t="s">
        <v>416</v>
      </c>
      <c r="S156" s="132">
        <v>42521</v>
      </c>
      <c r="T156" s="121">
        <f>EDATE(S156,2)</f>
        <v>42582</v>
      </c>
      <c r="U156" s="133">
        <v>42492</v>
      </c>
    </row>
    <row r="157" spans="1:21" s="135" customFormat="1" ht="105" x14ac:dyDescent="0.25">
      <c r="A157" s="75">
        <v>5439</v>
      </c>
      <c r="B157" s="76" t="s">
        <v>1510</v>
      </c>
      <c r="C157" s="97" t="s">
        <v>1511</v>
      </c>
      <c r="D157" s="11"/>
      <c r="E157" s="44" t="s">
        <v>1397</v>
      </c>
      <c r="F157" s="37"/>
      <c r="G157" s="37" t="s">
        <v>213</v>
      </c>
      <c r="H157" s="37"/>
      <c r="I157" s="82"/>
      <c r="J157" s="37"/>
      <c r="K157" s="46"/>
      <c r="L157" s="46"/>
      <c r="M157" s="51"/>
      <c r="N157" s="37"/>
      <c r="O157" s="48"/>
      <c r="P157" s="48"/>
      <c r="Q157" s="48"/>
      <c r="R157" s="48"/>
      <c r="S157" s="44"/>
      <c r="T157" s="121"/>
      <c r="U157" s="134"/>
    </row>
    <row r="158" spans="1:21" ht="75" x14ac:dyDescent="0.25">
      <c r="A158" s="75">
        <v>5364</v>
      </c>
      <c r="B158" s="76" t="s">
        <v>1512</v>
      </c>
      <c r="C158" s="52" t="s">
        <v>1513</v>
      </c>
      <c r="D158" s="11"/>
      <c r="E158" s="44" t="s">
        <v>1514</v>
      </c>
      <c r="F158" s="37" t="s">
        <v>1515</v>
      </c>
      <c r="G158" s="44" t="s">
        <v>116</v>
      </c>
      <c r="H158" s="80"/>
      <c r="I158" s="82" t="s">
        <v>39</v>
      </c>
      <c r="J158" s="37" t="s">
        <v>34</v>
      </c>
      <c r="K158" s="46">
        <v>42971</v>
      </c>
      <c r="L158" s="46"/>
      <c r="M158" s="54">
        <v>42975</v>
      </c>
      <c r="N158" s="37" t="s">
        <v>454</v>
      </c>
      <c r="O158" s="48">
        <v>200</v>
      </c>
      <c r="P158" s="48"/>
      <c r="Q158" s="48"/>
      <c r="R158" s="48"/>
      <c r="S158" s="27">
        <v>42613</v>
      </c>
      <c r="T158" s="121">
        <f t="shared" ref="T158:T168" si="0">EDATE(S158,2)</f>
        <v>42674</v>
      </c>
      <c r="U158" s="28">
        <v>42564</v>
      </c>
    </row>
    <row r="159" spans="1:21" ht="75" x14ac:dyDescent="0.25">
      <c r="A159" s="75">
        <v>5351</v>
      </c>
      <c r="B159" s="76" t="s">
        <v>1516</v>
      </c>
      <c r="C159" s="97" t="s">
        <v>1517</v>
      </c>
      <c r="D159" s="11"/>
      <c r="E159" s="44" t="s">
        <v>1518</v>
      </c>
      <c r="F159" s="44" t="s">
        <v>104</v>
      </c>
      <c r="G159" s="44" t="s">
        <v>116</v>
      </c>
      <c r="H159" s="80"/>
      <c r="I159" s="82" t="s">
        <v>33</v>
      </c>
      <c r="J159" s="37" t="s">
        <v>34</v>
      </c>
      <c r="K159" s="46">
        <v>43235</v>
      </c>
      <c r="L159" s="46"/>
      <c r="M159" s="54">
        <v>42912</v>
      </c>
      <c r="N159" s="37" t="s">
        <v>441</v>
      </c>
      <c r="O159" s="48">
        <v>200</v>
      </c>
      <c r="P159" s="48"/>
      <c r="Q159" s="48"/>
      <c r="R159" s="48"/>
      <c r="S159" s="27">
        <v>42612</v>
      </c>
      <c r="T159" s="121">
        <f t="shared" si="0"/>
        <v>42673</v>
      </c>
      <c r="U159" s="28">
        <v>42606</v>
      </c>
    </row>
    <row r="160" spans="1:21" ht="60" x14ac:dyDescent="0.25">
      <c r="A160" s="98">
        <v>5376</v>
      </c>
      <c r="B160" s="76" t="s">
        <v>1519</v>
      </c>
      <c r="C160" s="52" t="s">
        <v>1520</v>
      </c>
      <c r="D160" s="11"/>
      <c r="E160" s="44" t="s">
        <v>1521</v>
      </c>
      <c r="F160" s="37" t="s">
        <v>247</v>
      </c>
      <c r="G160" s="44" t="s">
        <v>144</v>
      </c>
      <c r="H160" s="39"/>
      <c r="I160" s="82" t="s">
        <v>1522</v>
      </c>
      <c r="J160" s="37" t="s">
        <v>34</v>
      </c>
      <c r="K160" s="46">
        <v>43313</v>
      </c>
      <c r="L160" s="46"/>
      <c r="M160" s="54">
        <v>42948</v>
      </c>
      <c r="N160" s="37" t="s">
        <v>52</v>
      </c>
      <c r="O160" s="48">
        <v>200</v>
      </c>
      <c r="P160" s="48"/>
      <c r="Q160" s="48"/>
      <c r="R160" s="48"/>
      <c r="S160" s="27">
        <v>42428</v>
      </c>
      <c r="T160" s="121">
        <f t="shared" si="0"/>
        <v>42488</v>
      </c>
      <c r="U160" s="28" t="s">
        <v>1523</v>
      </c>
    </row>
    <row r="161" spans="1:21" ht="285" x14ac:dyDescent="0.25">
      <c r="A161" s="56" t="s">
        <v>1524</v>
      </c>
      <c r="B161" s="56" t="s">
        <v>1525</v>
      </c>
      <c r="C161" s="136" t="s">
        <v>1526</v>
      </c>
      <c r="D161" s="11"/>
      <c r="E161" s="58" t="s">
        <v>1527</v>
      </c>
      <c r="F161" s="58" t="s">
        <v>1528</v>
      </c>
      <c r="G161" s="59" t="s">
        <v>213</v>
      </c>
      <c r="H161" s="59" t="s">
        <v>1529</v>
      </c>
      <c r="I161" s="82" t="s">
        <v>60</v>
      </c>
      <c r="J161" s="59" t="s">
        <v>34</v>
      </c>
      <c r="K161" s="60">
        <v>43268</v>
      </c>
      <c r="L161" s="60">
        <v>42335</v>
      </c>
      <c r="M161" s="137">
        <v>42903</v>
      </c>
      <c r="N161" s="84" t="s">
        <v>26</v>
      </c>
      <c r="O161" s="62">
        <v>200</v>
      </c>
      <c r="P161" s="62">
        <v>300</v>
      </c>
      <c r="Q161" s="62">
        <v>80</v>
      </c>
      <c r="R161" s="62" t="s">
        <v>35</v>
      </c>
      <c r="S161" s="27">
        <v>42704</v>
      </c>
      <c r="T161" s="121">
        <f t="shared" si="0"/>
        <v>42765</v>
      </c>
      <c r="U161" s="28">
        <v>42397</v>
      </c>
    </row>
    <row r="162" spans="1:21" s="9" customFormat="1" ht="120" x14ac:dyDescent="0.25">
      <c r="A162" s="98" t="s">
        <v>1530</v>
      </c>
      <c r="B162" s="64">
        <v>42095</v>
      </c>
      <c r="C162" s="52" t="s">
        <v>1531</v>
      </c>
      <c r="D162" s="11"/>
      <c r="E162" s="44" t="s">
        <v>1532</v>
      </c>
      <c r="F162" s="37" t="s">
        <v>1533</v>
      </c>
      <c r="G162" s="44" t="s">
        <v>44</v>
      </c>
      <c r="H162" s="80"/>
      <c r="I162" s="82" t="s">
        <v>1534</v>
      </c>
      <c r="J162" s="37" t="s">
        <v>34</v>
      </c>
      <c r="K162" s="46">
        <v>43254</v>
      </c>
      <c r="L162" s="46"/>
      <c r="M162" s="54">
        <v>42854</v>
      </c>
      <c r="N162" s="37" t="s">
        <v>441</v>
      </c>
      <c r="O162" s="48">
        <v>200</v>
      </c>
      <c r="P162" s="48"/>
      <c r="Q162" s="48"/>
      <c r="R162" s="48" t="s">
        <v>482</v>
      </c>
      <c r="S162" s="27">
        <v>42582</v>
      </c>
      <c r="T162" s="121">
        <f t="shared" si="0"/>
        <v>42643</v>
      </c>
      <c r="U162" s="28">
        <v>42642</v>
      </c>
    </row>
    <row r="163" spans="1:21" s="1" customFormat="1" ht="105" x14ac:dyDescent="0.25">
      <c r="A163" s="98" t="s">
        <v>1535</v>
      </c>
      <c r="B163" s="64"/>
      <c r="C163" s="52" t="s">
        <v>1536</v>
      </c>
      <c r="D163" s="11"/>
      <c r="E163" s="44" t="s">
        <v>1537</v>
      </c>
      <c r="F163" s="44" t="s">
        <v>1538</v>
      </c>
      <c r="G163" s="44" t="s">
        <v>176</v>
      </c>
      <c r="H163" s="80" t="s">
        <v>1539</v>
      </c>
      <c r="I163" s="138" t="s">
        <v>420</v>
      </c>
      <c r="J163" s="37" t="s">
        <v>34</v>
      </c>
      <c r="K163" s="46">
        <v>43190</v>
      </c>
      <c r="L163" s="83" t="s">
        <v>1540</v>
      </c>
      <c r="M163" s="51">
        <v>42813</v>
      </c>
      <c r="N163" s="37" t="s">
        <v>52</v>
      </c>
      <c r="O163" s="48">
        <v>200</v>
      </c>
      <c r="P163" s="48">
        <v>100</v>
      </c>
      <c r="Q163" s="48"/>
      <c r="R163" s="48"/>
      <c r="S163" s="27">
        <v>42582</v>
      </c>
      <c r="T163" s="121">
        <f t="shared" si="0"/>
        <v>42643</v>
      </c>
      <c r="U163" s="28">
        <v>42640</v>
      </c>
    </row>
    <row r="164" spans="1:21" ht="90" x14ac:dyDescent="0.25">
      <c r="A164" s="98" t="s">
        <v>1541</v>
      </c>
      <c r="B164" s="64">
        <v>41852</v>
      </c>
      <c r="C164" s="52" t="s">
        <v>1542</v>
      </c>
      <c r="D164" s="11"/>
      <c r="E164" s="44" t="s">
        <v>1537</v>
      </c>
      <c r="F164" s="44" t="s">
        <v>1543</v>
      </c>
      <c r="G164" s="44" t="s">
        <v>176</v>
      </c>
      <c r="H164" s="80" t="s">
        <v>1539</v>
      </c>
      <c r="I164" s="138" t="s">
        <v>420</v>
      </c>
      <c r="J164" s="37" t="s">
        <v>34</v>
      </c>
      <c r="K164" s="46">
        <v>43190</v>
      </c>
      <c r="L164" s="46"/>
      <c r="M164" s="51">
        <v>42082</v>
      </c>
      <c r="N164" s="37" t="s">
        <v>26</v>
      </c>
      <c r="O164" s="48">
        <v>200</v>
      </c>
      <c r="P164" s="48">
        <v>100</v>
      </c>
      <c r="Q164" s="48">
        <v>0</v>
      </c>
      <c r="R164" s="48" t="s">
        <v>29</v>
      </c>
      <c r="S164" s="27">
        <v>42582</v>
      </c>
      <c r="T164" s="121">
        <f t="shared" si="0"/>
        <v>42643</v>
      </c>
      <c r="U164" s="28">
        <v>42640</v>
      </c>
    </row>
    <row r="165" spans="1:21" ht="270" x14ac:dyDescent="0.25">
      <c r="A165" s="122" t="s">
        <v>1544</v>
      </c>
      <c r="B165" s="139">
        <v>42644</v>
      </c>
      <c r="C165" s="124" t="s">
        <v>1545</v>
      </c>
      <c r="D165" s="287" t="s">
        <v>2739</v>
      </c>
      <c r="E165" s="125" t="s">
        <v>1546</v>
      </c>
      <c r="F165" s="126">
        <v>209</v>
      </c>
      <c r="G165" s="125" t="s">
        <v>113</v>
      </c>
      <c r="H165" s="127" t="s">
        <v>1547</v>
      </c>
      <c r="I165" s="128" t="s">
        <v>33</v>
      </c>
      <c r="J165" s="126" t="s">
        <v>34</v>
      </c>
      <c r="K165" s="129">
        <v>43360</v>
      </c>
      <c r="L165" s="129"/>
      <c r="M165" s="130">
        <v>43000</v>
      </c>
      <c r="N165" s="126" t="s">
        <v>52</v>
      </c>
      <c r="O165" s="131">
        <v>200</v>
      </c>
      <c r="P165" s="131">
        <v>200</v>
      </c>
      <c r="Q165" s="131"/>
      <c r="R165" s="131"/>
      <c r="S165" s="132">
        <v>42735</v>
      </c>
      <c r="T165" s="140">
        <f t="shared" si="0"/>
        <v>42794</v>
      </c>
      <c r="U165" s="133">
        <v>42709</v>
      </c>
    </row>
    <row r="166" spans="1:21" ht="44.25" customHeight="1" x14ac:dyDescent="0.25">
      <c r="A166" s="98" t="s">
        <v>1548</v>
      </c>
      <c r="B166" s="64">
        <v>42705</v>
      </c>
      <c r="C166" s="52" t="s">
        <v>1549</v>
      </c>
      <c r="D166" s="11" t="s">
        <v>2769</v>
      </c>
      <c r="E166" s="44" t="s">
        <v>1550</v>
      </c>
      <c r="F166" s="37" t="s">
        <v>1551</v>
      </c>
      <c r="G166" s="37" t="s">
        <v>1552</v>
      </c>
      <c r="H166" s="39"/>
      <c r="I166" s="82"/>
      <c r="J166" s="37" t="s">
        <v>34</v>
      </c>
      <c r="K166" s="46">
        <v>43424</v>
      </c>
      <c r="L166" s="46"/>
      <c r="M166" s="54"/>
      <c r="N166" s="37"/>
      <c r="O166" s="48">
        <v>200</v>
      </c>
      <c r="P166" s="48"/>
      <c r="Q166" s="48"/>
      <c r="R166" s="48"/>
      <c r="S166" s="44"/>
      <c r="T166" s="140">
        <f t="shared" si="0"/>
        <v>60</v>
      </c>
      <c r="U166" s="134"/>
    </row>
    <row r="167" spans="1:21" s="141" customFormat="1" ht="46.5" customHeight="1" x14ac:dyDescent="0.25">
      <c r="A167" s="98" t="s">
        <v>1553</v>
      </c>
      <c r="B167" s="64">
        <v>42095</v>
      </c>
      <c r="C167" s="79" t="s">
        <v>1554</v>
      </c>
      <c r="D167" s="11"/>
      <c r="E167" s="44" t="s">
        <v>1532</v>
      </c>
      <c r="F167" s="37" t="s">
        <v>1555</v>
      </c>
      <c r="G167" s="44" t="s">
        <v>44</v>
      </c>
      <c r="H167" s="80" t="s">
        <v>45</v>
      </c>
      <c r="I167" s="82" t="s">
        <v>24</v>
      </c>
      <c r="J167" s="37" t="s">
        <v>34</v>
      </c>
      <c r="K167" s="46">
        <v>43254</v>
      </c>
      <c r="L167" s="46">
        <v>42682</v>
      </c>
      <c r="M167" s="54">
        <v>42123</v>
      </c>
      <c r="N167" s="37" t="s">
        <v>460</v>
      </c>
      <c r="O167" s="48">
        <v>200</v>
      </c>
      <c r="P167" s="48"/>
      <c r="Q167" s="48"/>
      <c r="R167" s="48" t="s">
        <v>482</v>
      </c>
      <c r="S167" s="27">
        <v>42582</v>
      </c>
      <c r="T167" s="140">
        <f t="shared" si="0"/>
        <v>42643</v>
      </c>
      <c r="U167" s="28">
        <v>42642</v>
      </c>
    </row>
    <row r="168" spans="1:21" s="1" customFormat="1" ht="90" x14ac:dyDescent="0.25">
      <c r="A168" s="98" t="s">
        <v>1556</v>
      </c>
      <c r="B168" s="64"/>
      <c r="C168" s="52" t="s">
        <v>1557</v>
      </c>
      <c r="D168" s="11"/>
      <c r="E168" s="44" t="s">
        <v>1532</v>
      </c>
      <c r="F168" s="37" t="s">
        <v>1558</v>
      </c>
      <c r="G168" s="44" t="s">
        <v>44</v>
      </c>
      <c r="H168" s="80" t="s">
        <v>45</v>
      </c>
      <c r="I168" s="82" t="s">
        <v>64</v>
      </c>
      <c r="J168" s="37" t="s">
        <v>34</v>
      </c>
      <c r="K168" s="46">
        <v>43254</v>
      </c>
      <c r="L168" s="46">
        <v>42682</v>
      </c>
      <c r="M168" s="54">
        <v>42123</v>
      </c>
      <c r="N168" s="37" t="s">
        <v>460</v>
      </c>
      <c r="O168" s="48">
        <v>200</v>
      </c>
      <c r="P168" s="48"/>
      <c r="Q168" s="48"/>
      <c r="R168" s="48" t="s">
        <v>482</v>
      </c>
      <c r="S168" s="27">
        <v>42582</v>
      </c>
      <c r="T168" s="140">
        <f t="shared" si="0"/>
        <v>42643</v>
      </c>
      <c r="U168" s="28">
        <v>42642</v>
      </c>
    </row>
    <row r="169" spans="1:21" ht="45" x14ac:dyDescent="0.25">
      <c r="A169" s="75">
        <v>5503</v>
      </c>
      <c r="B169" s="76" t="s">
        <v>1559</v>
      </c>
      <c r="C169" s="52" t="s">
        <v>1560</v>
      </c>
      <c r="D169" s="11" t="s">
        <v>2727</v>
      </c>
      <c r="E169" s="44" t="s">
        <v>1561</v>
      </c>
      <c r="F169" s="37" t="s">
        <v>1501</v>
      </c>
      <c r="G169" s="44" t="s">
        <v>116</v>
      </c>
      <c r="H169" s="39"/>
      <c r="I169" s="82" t="s">
        <v>33</v>
      </c>
      <c r="J169" s="37" t="s">
        <v>1099</v>
      </c>
      <c r="K169" s="46">
        <v>43539</v>
      </c>
      <c r="L169" s="46"/>
      <c r="M169" s="54">
        <v>43174</v>
      </c>
      <c r="N169" s="37" t="s">
        <v>52</v>
      </c>
      <c r="O169" s="48">
        <v>200</v>
      </c>
      <c r="P169" s="48"/>
      <c r="Q169" s="48"/>
      <c r="R169" s="48"/>
      <c r="S169" s="44"/>
      <c r="T169" s="140"/>
      <c r="U169" s="134"/>
    </row>
    <row r="170" spans="1:21" s="1" customFormat="1" ht="225" x14ac:dyDescent="0.25">
      <c r="A170" s="142" t="s">
        <v>1562</v>
      </c>
      <c r="B170" s="143">
        <v>42217</v>
      </c>
      <c r="C170" s="102" t="s">
        <v>1563</v>
      </c>
      <c r="D170" s="210" t="s">
        <v>2725</v>
      </c>
      <c r="E170" s="103" t="s">
        <v>1564</v>
      </c>
      <c r="F170" s="84" t="s">
        <v>1565</v>
      </c>
      <c r="G170" s="103" t="s">
        <v>235</v>
      </c>
      <c r="H170" s="144" t="s">
        <v>1566</v>
      </c>
      <c r="I170" s="104" t="s">
        <v>33</v>
      </c>
      <c r="J170" s="84" t="s">
        <v>34</v>
      </c>
      <c r="K170" s="105">
        <v>43282</v>
      </c>
      <c r="L170" s="105">
        <v>42590</v>
      </c>
      <c r="M170" s="145">
        <v>42896</v>
      </c>
      <c r="N170" s="84" t="s">
        <v>441</v>
      </c>
      <c r="O170" s="107">
        <v>200</v>
      </c>
      <c r="P170" s="107" t="s">
        <v>1567</v>
      </c>
      <c r="Q170" s="107"/>
      <c r="R170" s="107" t="s">
        <v>416</v>
      </c>
      <c r="S170" s="27">
        <v>42643</v>
      </c>
      <c r="T170" s="140">
        <f>EDATE(S170,2)</f>
        <v>42704</v>
      </c>
      <c r="U170" s="28">
        <v>42702</v>
      </c>
    </row>
    <row r="171" spans="1:21" s="24" customFormat="1" ht="69" customHeight="1" x14ac:dyDescent="0.25">
      <c r="A171" s="75">
        <v>5543</v>
      </c>
      <c r="B171" s="146" t="s">
        <v>1568</v>
      </c>
      <c r="C171" s="52" t="s">
        <v>1569</v>
      </c>
      <c r="D171" s="11" t="s">
        <v>2727</v>
      </c>
      <c r="E171" s="44" t="s">
        <v>1570</v>
      </c>
      <c r="F171" s="37">
        <v>7</v>
      </c>
      <c r="G171" s="44" t="s">
        <v>189</v>
      </c>
      <c r="H171" s="39"/>
      <c r="I171" s="82" t="s">
        <v>1571</v>
      </c>
      <c r="J171" s="37"/>
      <c r="K171" s="46"/>
      <c r="L171" s="46"/>
      <c r="M171" s="54"/>
      <c r="N171" s="37"/>
      <c r="O171" s="48">
        <v>200</v>
      </c>
      <c r="P171" s="48"/>
      <c r="Q171" s="48"/>
      <c r="R171" s="48"/>
      <c r="S171" s="44"/>
      <c r="T171" s="140"/>
      <c r="U171" s="134"/>
    </row>
    <row r="172" spans="1:21" ht="90" x14ac:dyDescent="0.25">
      <c r="A172" s="43">
        <v>5417</v>
      </c>
      <c r="B172" s="43"/>
      <c r="C172" s="79" t="s">
        <v>1572</v>
      </c>
      <c r="D172" s="11"/>
      <c r="E172" s="44" t="s">
        <v>520</v>
      </c>
      <c r="F172" s="37"/>
      <c r="G172" s="44" t="s">
        <v>202</v>
      </c>
      <c r="H172" s="37" t="s">
        <v>1573</v>
      </c>
      <c r="I172" s="82"/>
      <c r="J172" s="37" t="s">
        <v>1574</v>
      </c>
      <c r="K172" s="46">
        <v>43405</v>
      </c>
      <c r="L172" s="46">
        <v>42153</v>
      </c>
      <c r="M172" s="54">
        <v>42675</v>
      </c>
      <c r="N172" s="37" t="s">
        <v>47</v>
      </c>
      <c r="O172" s="48"/>
      <c r="P172" s="48"/>
      <c r="Q172" s="48"/>
      <c r="R172" s="48"/>
      <c r="S172" s="44"/>
      <c r="T172" s="140"/>
      <c r="U172" s="134"/>
    </row>
    <row r="173" spans="1:21" ht="75" x14ac:dyDescent="0.25">
      <c r="A173" s="75">
        <v>5442</v>
      </c>
      <c r="B173" s="64">
        <v>42491</v>
      </c>
      <c r="C173" s="52" t="s">
        <v>1575</v>
      </c>
      <c r="D173" s="2"/>
      <c r="E173" s="44"/>
      <c r="F173" s="37"/>
      <c r="G173" s="44" t="s">
        <v>55</v>
      </c>
      <c r="H173" s="37"/>
      <c r="I173" s="82"/>
      <c r="J173" s="37"/>
      <c r="K173" s="46"/>
      <c r="L173" s="46"/>
      <c r="M173" s="51"/>
      <c r="N173" s="37"/>
      <c r="O173" s="48"/>
      <c r="P173" s="48"/>
      <c r="Q173" s="48"/>
      <c r="R173" s="48"/>
      <c r="S173" s="44"/>
      <c r="T173" s="140"/>
      <c r="U173" s="134"/>
    </row>
    <row r="174" spans="1:21" s="1" customFormat="1" ht="135" x14ac:dyDescent="0.25">
      <c r="A174" s="98" t="s">
        <v>1576</v>
      </c>
      <c r="B174" s="64">
        <v>42005</v>
      </c>
      <c r="C174" s="52" t="s">
        <v>1577</v>
      </c>
      <c r="D174" s="11" t="s">
        <v>2731</v>
      </c>
      <c r="E174" s="44" t="s">
        <v>1578</v>
      </c>
      <c r="F174" s="44" t="s">
        <v>652</v>
      </c>
      <c r="G174" s="44" t="s">
        <v>1579</v>
      </c>
      <c r="H174" s="80"/>
      <c r="I174" s="82" t="s">
        <v>33</v>
      </c>
      <c r="J174" s="37" t="s">
        <v>46</v>
      </c>
      <c r="K174" s="46">
        <v>43449</v>
      </c>
      <c r="L174" s="46"/>
      <c r="M174" s="81" t="s">
        <v>1580</v>
      </c>
      <c r="N174" s="37" t="s">
        <v>26</v>
      </c>
      <c r="O174" s="48">
        <v>200</v>
      </c>
      <c r="P174" s="48"/>
      <c r="Q174" s="48"/>
      <c r="R174" s="48"/>
      <c r="S174" s="27">
        <v>42521</v>
      </c>
      <c r="T174" s="140">
        <f>EDATE(S174,2)</f>
        <v>42582</v>
      </c>
      <c r="U174" s="28">
        <v>42492</v>
      </c>
    </row>
    <row r="175" spans="1:21" s="135" customFormat="1" ht="75" x14ac:dyDescent="0.25">
      <c r="A175" s="98" t="s">
        <v>1581</v>
      </c>
      <c r="B175" s="64">
        <v>42979</v>
      </c>
      <c r="C175" s="52" t="s">
        <v>1582</v>
      </c>
      <c r="D175" s="11" t="s">
        <v>2727</v>
      </c>
      <c r="E175" s="44" t="s">
        <v>1583</v>
      </c>
      <c r="F175" s="37" t="s">
        <v>1584</v>
      </c>
      <c r="G175" s="44" t="s">
        <v>189</v>
      </c>
      <c r="H175" s="39"/>
      <c r="I175" s="82" t="s">
        <v>33</v>
      </c>
      <c r="J175" s="37" t="s">
        <v>34</v>
      </c>
      <c r="K175" s="46">
        <v>43730</v>
      </c>
      <c r="L175" s="46"/>
      <c r="M175" s="54">
        <v>43365</v>
      </c>
      <c r="N175" s="37" t="s">
        <v>52</v>
      </c>
      <c r="O175" s="48">
        <v>200</v>
      </c>
      <c r="P175" s="48"/>
      <c r="Q175" s="48"/>
      <c r="R175" s="48"/>
      <c r="S175" s="44"/>
      <c r="T175" s="140"/>
      <c r="U175" s="134"/>
    </row>
    <row r="176" spans="1:21" ht="60" x14ac:dyDescent="0.25">
      <c r="A176" s="52" t="s">
        <v>1585</v>
      </c>
      <c r="B176" s="43"/>
      <c r="C176" s="97" t="s">
        <v>1586</v>
      </c>
      <c r="D176" s="11" t="s">
        <v>2731</v>
      </c>
      <c r="E176" s="44" t="s">
        <v>1587</v>
      </c>
      <c r="F176" s="44" t="s">
        <v>1588</v>
      </c>
      <c r="G176" s="44" t="s">
        <v>55</v>
      </c>
      <c r="H176" s="37"/>
      <c r="I176" s="99" t="s">
        <v>33</v>
      </c>
      <c r="J176" s="37" t="s">
        <v>40</v>
      </c>
      <c r="K176" s="46">
        <v>43758</v>
      </c>
      <c r="L176" s="46">
        <v>42080</v>
      </c>
      <c r="M176" s="51">
        <v>43393</v>
      </c>
      <c r="N176" s="37" t="s">
        <v>1589</v>
      </c>
      <c r="O176" s="48">
        <v>200</v>
      </c>
      <c r="P176" s="48"/>
      <c r="Q176" s="50"/>
      <c r="R176" s="50" t="s">
        <v>35</v>
      </c>
      <c r="S176" s="27">
        <v>42490</v>
      </c>
      <c r="T176" s="140">
        <f t="shared" ref="T176:T182" si="1">EDATE(S176,2)</f>
        <v>42551</v>
      </c>
      <c r="U176" s="28">
        <v>42549</v>
      </c>
    </row>
    <row r="177" spans="1:22" ht="120" x14ac:dyDescent="0.25">
      <c r="A177" s="52" t="s">
        <v>1590</v>
      </c>
      <c r="B177" s="43"/>
      <c r="C177" s="97" t="s">
        <v>1591</v>
      </c>
      <c r="D177" s="11" t="s">
        <v>2725</v>
      </c>
      <c r="E177" s="44" t="s">
        <v>1592</v>
      </c>
      <c r="F177" s="44" t="s">
        <v>1593</v>
      </c>
      <c r="G177" s="44" t="s">
        <v>235</v>
      </c>
      <c r="H177" s="37" t="s">
        <v>1594</v>
      </c>
      <c r="I177" s="82" t="s">
        <v>33</v>
      </c>
      <c r="J177" s="37" t="s">
        <v>34</v>
      </c>
      <c r="K177" s="46">
        <v>43524</v>
      </c>
      <c r="L177" s="46">
        <v>42870</v>
      </c>
      <c r="M177" s="51">
        <v>42794</v>
      </c>
      <c r="N177" s="37" t="s">
        <v>26</v>
      </c>
      <c r="O177" s="48">
        <v>200</v>
      </c>
      <c r="P177" s="48">
        <v>100</v>
      </c>
      <c r="Q177" s="48"/>
      <c r="R177" s="48" t="s">
        <v>35</v>
      </c>
      <c r="S177" s="27">
        <v>42613</v>
      </c>
      <c r="T177" s="140">
        <f t="shared" si="1"/>
        <v>42674</v>
      </c>
      <c r="U177" s="28">
        <v>42668</v>
      </c>
    </row>
    <row r="178" spans="1:22" ht="75" x14ac:dyDescent="0.25">
      <c r="A178" s="52" t="s">
        <v>1595</v>
      </c>
      <c r="B178" s="43"/>
      <c r="C178" s="79" t="s">
        <v>1596</v>
      </c>
      <c r="D178" s="272"/>
      <c r="E178" s="44" t="s">
        <v>1597</v>
      </c>
      <c r="F178" s="37" t="s">
        <v>1598</v>
      </c>
      <c r="G178" s="37" t="s">
        <v>105</v>
      </c>
      <c r="H178" s="37"/>
      <c r="I178" s="82" t="s">
        <v>33</v>
      </c>
      <c r="J178" s="37" t="s">
        <v>1099</v>
      </c>
      <c r="K178" s="46">
        <v>43617</v>
      </c>
      <c r="L178" s="46">
        <v>42300</v>
      </c>
      <c r="M178" s="85">
        <v>43252</v>
      </c>
      <c r="N178" s="37" t="s">
        <v>47</v>
      </c>
      <c r="O178" s="48">
        <v>200</v>
      </c>
      <c r="P178" s="48">
        <v>100</v>
      </c>
      <c r="Q178" s="48"/>
      <c r="R178" s="48" t="s">
        <v>29</v>
      </c>
      <c r="S178" s="27">
        <v>42735</v>
      </c>
      <c r="T178" s="140">
        <f t="shared" si="1"/>
        <v>42794</v>
      </c>
      <c r="U178" s="28">
        <v>42425</v>
      </c>
    </row>
    <row r="179" spans="1:22" ht="90" x14ac:dyDescent="0.25">
      <c r="A179" s="98" t="s">
        <v>1599</v>
      </c>
      <c r="B179" s="64">
        <v>41671</v>
      </c>
      <c r="C179" s="52" t="s">
        <v>1600</v>
      </c>
      <c r="D179" s="11" t="s">
        <v>2726</v>
      </c>
      <c r="E179" s="44" t="s">
        <v>1601</v>
      </c>
      <c r="F179" s="37" t="s">
        <v>1602</v>
      </c>
      <c r="G179" s="44" t="s">
        <v>44</v>
      </c>
      <c r="H179" s="45"/>
      <c r="I179" s="82" t="s">
        <v>71</v>
      </c>
      <c r="J179" s="37" t="s">
        <v>46</v>
      </c>
      <c r="K179" s="46">
        <v>43852</v>
      </c>
      <c r="L179" s="46">
        <v>41939</v>
      </c>
      <c r="M179" s="51">
        <v>42794</v>
      </c>
      <c r="N179" s="37" t="s">
        <v>26</v>
      </c>
      <c r="O179" s="48">
        <v>200</v>
      </c>
      <c r="P179" s="48">
        <v>200</v>
      </c>
      <c r="Q179" s="48">
        <v>200</v>
      </c>
      <c r="R179" s="48" t="s">
        <v>29</v>
      </c>
      <c r="S179" s="27">
        <v>42551</v>
      </c>
      <c r="T179" s="140">
        <f t="shared" si="1"/>
        <v>42612</v>
      </c>
      <c r="U179" s="28">
        <v>42611</v>
      </c>
    </row>
    <row r="180" spans="1:22" ht="60" x14ac:dyDescent="0.25">
      <c r="A180" s="98" t="s">
        <v>1603</v>
      </c>
      <c r="B180" s="64">
        <v>41671</v>
      </c>
      <c r="C180" s="52" t="s">
        <v>1604</v>
      </c>
      <c r="D180" s="11" t="s">
        <v>2726</v>
      </c>
      <c r="E180" s="44" t="s">
        <v>1601</v>
      </c>
      <c r="F180" s="44" t="s">
        <v>326</v>
      </c>
      <c r="G180" s="44" t="s">
        <v>44</v>
      </c>
      <c r="H180" s="45"/>
      <c r="I180" s="82" t="s">
        <v>24</v>
      </c>
      <c r="J180" s="37" t="s">
        <v>46</v>
      </c>
      <c r="K180" s="46">
        <v>43852</v>
      </c>
      <c r="L180" s="46"/>
      <c r="M180" s="51">
        <v>43159</v>
      </c>
      <c r="N180" s="37" t="s">
        <v>52</v>
      </c>
      <c r="O180" s="48">
        <v>200</v>
      </c>
      <c r="P180" s="48">
        <v>200</v>
      </c>
      <c r="Q180" s="48">
        <v>200</v>
      </c>
      <c r="R180" s="48"/>
      <c r="S180" s="27">
        <v>42551</v>
      </c>
      <c r="T180" s="140">
        <f t="shared" si="1"/>
        <v>42612</v>
      </c>
      <c r="U180" s="28">
        <v>42611</v>
      </c>
    </row>
    <row r="181" spans="1:22" s="1" customFormat="1" ht="105" x14ac:dyDescent="0.25">
      <c r="A181" s="98" t="s">
        <v>1605</v>
      </c>
      <c r="B181" s="64">
        <v>42309</v>
      </c>
      <c r="C181" s="37" t="s">
        <v>1606</v>
      </c>
      <c r="D181" s="11"/>
      <c r="E181" s="44" t="s">
        <v>1607</v>
      </c>
      <c r="F181" s="37" t="s">
        <v>1608</v>
      </c>
      <c r="G181" s="44" t="s">
        <v>50</v>
      </c>
      <c r="H181" s="39" t="s">
        <v>51</v>
      </c>
      <c r="I181" s="82" t="s">
        <v>33</v>
      </c>
      <c r="J181" s="37" t="s">
        <v>34</v>
      </c>
      <c r="K181" s="46">
        <v>43770</v>
      </c>
      <c r="L181" s="46">
        <v>42744</v>
      </c>
      <c r="M181" s="54">
        <v>43428</v>
      </c>
      <c r="N181" s="37" t="s">
        <v>441</v>
      </c>
      <c r="O181" s="48">
        <v>200</v>
      </c>
      <c r="P181" s="48" t="s">
        <v>1609</v>
      </c>
      <c r="Q181" s="48" t="s">
        <v>1609</v>
      </c>
      <c r="R181" s="48" t="s">
        <v>482</v>
      </c>
      <c r="S181" s="27">
        <v>42551</v>
      </c>
      <c r="T181" s="140">
        <f t="shared" si="1"/>
        <v>42612</v>
      </c>
      <c r="U181" s="28">
        <v>42542</v>
      </c>
    </row>
    <row r="182" spans="1:22" s="1" customFormat="1" ht="210" x14ac:dyDescent="0.25">
      <c r="A182" s="52" t="s">
        <v>1610</v>
      </c>
      <c r="B182" s="43"/>
      <c r="C182" s="52" t="s">
        <v>1611</v>
      </c>
      <c r="D182" s="11" t="s">
        <v>2727</v>
      </c>
      <c r="E182" s="44" t="s">
        <v>1414</v>
      </c>
      <c r="F182" s="44" t="s">
        <v>58</v>
      </c>
      <c r="G182" s="44" t="s">
        <v>55</v>
      </c>
      <c r="H182" s="37" t="s">
        <v>1463</v>
      </c>
      <c r="I182" s="82" t="s">
        <v>263</v>
      </c>
      <c r="J182" s="44" t="s">
        <v>34</v>
      </c>
      <c r="K182" s="46">
        <v>43685</v>
      </c>
      <c r="L182" s="46">
        <v>42338</v>
      </c>
      <c r="M182" s="51">
        <v>43320</v>
      </c>
      <c r="N182" s="37" t="s">
        <v>47</v>
      </c>
      <c r="O182" s="48">
        <v>200</v>
      </c>
      <c r="P182" s="48" t="s">
        <v>1612</v>
      </c>
      <c r="Q182" s="48"/>
      <c r="R182" s="48" t="s">
        <v>29</v>
      </c>
      <c r="S182" s="27">
        <v>42612</v>
      </c>
      <c r="T182" s="140">
        <f t="shared" si="1"/>
        <v>42673</v>
      </c>
      <c r="U182" s="28">
        <v>42670</v>
      </c>
    </row>
    <row r="183" spans="1:22" s="24" customFormat="1" ht="90" x14ac:dyDescent="0.25">
      <c r="A183" s="98" t="s">
        <v>1613</v>
      </c>
      <c r="B183" s="64"/>
      <c r="C183" s="52" t="s">
        <v>1614</v>
      </c>
      <c r="D183" s="2"/>
      <c r="E183" s="44" t="s">
        <v>1414</v>
      </c>
      <c r="F183" s="44" t="s">
        <v>509</v>
      </c>
      <c r="G183" s="44" t="s">
        <v>55</v>
      </c>
      <c r="H183" s="37"/>
      <c r="I183" s="82"/>
      <c r="J183" s="37" t="s">
        <v>34</v>
      </c>
      <c r="K183" s="46">
        <v>43685</v>
      </c>
      <c r="L183" s="46">
        <v>42338</v>
      </c>
      <c r="M183" s="51">
        <v>43320</v>
      </c>
      <c r="N183" s="37" t="s">
        <v>1615</v>
      </c>
      <c r="O183" s="48">
        <v>200</v>
      </c>
      <c r="P183" s="48"/>
      <c r="Q183" s="48" t="s">
        <v>199</v>
      </c>
      <c r="R183" s="50"/>
      <c r="S183" s="50"/>
      <c r="T183" s="27">
        <v>42613</v>
      </c>
      <c r="U183" s="140">
        <f>EDATE(T183,2)</f>
        <v>42674</v>
      </c>
      <c r="V183" s="28">
        <v>42670</v>
      </c>
    </row>
    <row r="184" spans="1:22" ht="120" x14ac:dyDescent="0.25">
      <c r="A184" s="98" t="s">
        <v>1616</v>
      </c>
      <c r="B184" s="64">
        <v>41579</v>
      </c>
      <c r="C184" s="52" t="s">
        <v>1617</v>
      </c>
      <c r="D184" s="11" t="s">
        <v>2775</v>
      </c>
      <c r="E184" s="44" t="s">
        <v>1618</v>
      </c>
      <c r="F184" s="89" t="s">
        <v>393</v>
      </c>
      <c r="G184" s="44" t="s">
        <v>44</v>
      </c>
      <c r="H184" s="45"/>
      <c r="I184" s="82" t="s">
        <v>39</v>
      </c>
      <c r="J184" s="37" t="s">
        <v>1099</v>
      </c>
      <c r="K184" s="46">
        <v>43741</v>
      </c>
      <c r="L184" s="46"/>
      <c r="M184" s="51">
        <v>43376</v>
      </c>
      <c r="N184" s="37" t="s">
        <v>26</v>
      </c>
      <c r="O184" s="48">
        <v>200</v>
      </c>
      <c r="P184" s="48" t="s">
        <v>41</v>
      </c>
      <c r="Q184" s="48"/>
      <c r="R184" s="48"/>
      <c r="S184" s="48" t="s">
        <v>29</v>
      </c>
      <c r="T184" s="27">
        <v>42521</v>
      </c>
      <c r="U184" s="140">
        <f>EDATE(T184,2)</f>
        <v>42582</v>
      </c>
      <c r="V184" s="28">
        <v>42570</v>
      </c>
    </row>
    <row r="185" spans="1:22" ht="36" x14ac:dyDescent="0.25">
      <c r="A185" s="2" t="s">
        <v>1619</v>
      </c>
      <c r="B185" s="3"/>
      <c r="C185" s="10" t="s">
        <v>1620</v>
      </c>
      <c r="D185" s="11" t="s">
        <v>2757</v>
      </c>
      <c r="E185" s="4" t="s">
        <v>1621</v>
      </c>
      <c r="F185" s="4" t="s">
        <v>298</v>
      </c>
      <c r="G185" s="11" t="s">
        <v>90</v>
      </c>
      <c r="H185" s="11"/>
      <c r="I185" s="5" t="s">
        <v>39</v>
      </c>
      <c r="J185" s="11" t="s">
        <v>34</v>
      </c>
      <c r="K185" s="12">
        <v>43983</v>
      </c>
      <c r="L185" s="12">
        <v>42023</v>
      </c>
      <c r="M185" s="6">
        <v>43617</v>
      </c>
      <c r="N185" s="11" t="s">
        <v>26</v>
      </c>
      <c r="O185" s="13">
        <v>200</v>
      </c>
      <c r="P185" s="13" t="s">
        <v>41</v>
      </c>
      <c r="Q185" s="13"/>
      <c r="R185" s="13"/>
      <c r="S185" s="13" t="s">
        <v>29</v>
      </c>
      <c r="T185" s="16">
        <v>42521</v>
      </c>
      <c r="U185" s="14">
        <f>EDATE(T185,2)</f>
        <v>42582</v>
      </c>
      <c r="V185" s="8">
        <v>42577</v>
      </c>
    </row>
    <row r="186" spans="1:22" ht="60" x14ac:dyDescent="0.25">
      <c r="A186" s="23" t="s">
        <v>1622</v>
      </c>
      <c r="B186" s="21">
        <v>41365</v>
      </c>
      <c r="C186" s="2" t="s">
        <v>1623</v>
      </c>
      <c r="D186" s="11" t="s">
        <v>2725</v>
      </c>
      <c r="E186" s="4" t="s">
        <v>1624</v>
      </c>
      <c r="F186" s="4" t="s">
        <v>259</v>
      </c>
      <c r="G186" s="4" t="s">
        <v>90</v>
      </c>
      <c r="H186" s="11" t="s">
        <v>1625</v>
      </c>
      <c r="I186" s="5" t="s">
        <v>33</v>
      </c>
      <c r="J186" s="11" t="s">
        <v>46</v>
      </c>
      <c r="K186" s="12">
        <v>43909</v>
      </c>
      <c r="L186" s="12">
        <v>42639</v>
      </c>
      <c r="M186" s="6">
        <v>43543</v>
      </c>
      <c r="N186" s="11" t="s">
        <v>47</v>
      </c>
      <c r="O186" s="13">
        <v>200</v>
      </c>
      <c r="P186" s="13"/>
      <c r="Q186" s="13">
        <v>300</v>
      </c>
      <c r="R186" s="13"/>
      <c r="S186" s="13" t="s">
        <v>35</v>
      </c>
      <c r="T186" s="16">
        <v>42490</v>
      </c>
      <c r="U186" s="14">
        <f>EDATE(T186,2)</f>
        <v>42551</v>
      </c>
      <c r="V186" s="8">
        <v>42549</v>
      </c>
    </row>
    <row r="187" spans="1:22" ht="84" x14ac:dyDescent="0.25">
      <c r="A187" s="3">
        <v>5433</v>
      </c>
      <c r="B187" s="3"/>
      <c r="C187" s="11" t="s">
        <v>1626</v>
      </c>
      <c r="D187" s="11" t="s">
        <v>2727</v>
      </c>
      <c r="E187" s="4" t="s">
        <v>520</v>
      </c>
      <c r="F187" s="4" t="s">
        <v>1627</v>
      </c>
      <c r="G187" s="4" t="s">
        <v>144</v>
      </c>
      <c r="H187" s="11" t="s">
        <v>1628</v>
      </c>
      <c r="I187" s="5"/>
      <c r="J187" s="11"/>
      <c r="K187" s="4"/>
      <c r="L187" s="4"/>
      <c r="M187" s="6"/>
      <c r="N187" s="4"/>
      <c r="O187" s="7"/>
      <c r="P187" s="7"/>
      <c r="Q187" s="7"/>
      <c r="R187" s="7"/>
      <c r="S187" s="7"/>
      <c r="T187" s="4"/>
      <c r="U187" s="14"/>
      <c r="V187" s="15"/>
    </row>
    <row r="188" spans="1:22" ht="120" x14ac:dyDescent="0.25">
      <c r="A188" s="23" t="s">
        <v>1629</v>
      </c>
      <c r="B188" s="21">
        <v>41061</v>
      </c>
      <c r="C188" s="2" t="s">
        <v>1630</v>
      </c>
      <c r="D188" s="11" t="s">
        <v>2727</v>
      </c>
      <c r="E188" s="4" t="s">
        <v>1631</v>
      </c>
      <c r="F188" s="4" t="s">
        <v>1632</v>
      </c>
      <c r="G188" s="4" t="s">
        <v>38</v>
      </c>
      <c r="H188" s="11" t="s">
        <v>1633</v>
      </c>
      <c r="I188" s="5" t="s">
        <v>71</v>
      </c>
      <c r="J188" s="11" t="s">
        <v>1099</v>
      </c>
      <c r="K188" s="12">
        <v>44044</v>
      </c>
      <c r="L188" s="12">
        <v>42236</v>
      </c>
      <c r="M188" s="6">
        <v>43678</v>
      </c>
      <c r="N188" s="11" t="s">
        <v>47</v>
      </c>
      <c r="O188" s="13">
        <v>200</v>
      </c>
      <c r="P188" s="13"/>
      <c r="Q188" s="13">
        <v>0</v>
      </c>
      <c r="R188" s="13">
        <v>0</v>
      </c>
      <c r="S188" s="13" t="s">
        <v>35</v>
      </c>
      <c r="T188" s="16">
        <v>42582</v>
      </c>
      <c r="U188" s="14">
        <f>EDATE(T188,2)</f>
        <v>42643</v>
      </c>
      <c r="V188" s="8">
        <v>42640</v>
      </c>
    </row>
    <row r="189" spans="1:22" ht="120" x14ac:dyDescent="0.25">
      <c r="A189" s="23" t="s">
        <v>1634</v>
      </c>
      <c r="B189" s="21">
        <v>41061</v>
      </c>
      <c r="C189" s="2" t="s">
        <v>1635</v>
      </c>
      <c r="D189" s="11" t="s">
        <v>2727</v>
      </c>
      <c r="E189" s="4" t="s">
        <v>1631</v>
      </c>
      <c r="F189" s="4" t="s">
        <v>1636</v>
      </c>
      <c r="G189" s="4" t="s">
        <v>38</v>
      </c>
      <c r="H189" s="11" t="s">
        <v>1633</v>
      </c>
      <c r="I189" s="5" t="s">
        <v>24</v>
      </c>
      <c r="J189" s="11" t="s">
        <v>1099</v>
      </c>
      <c r="K189" s="12">
        <v>44044</v>
      </c>
      <c r="L189" s="12"/>
      <c r="M189" s="6">
        <v>43678</v>
      </c>
      <c r="N189" s="11" t="s">
        <v>47</v>
      </c>
      <c r="O189" s="13">
        <v>200</v>
      </c>
      <c r="P189" s="13"/>
      <c r="Q189" s="13">
        <v>0</v>
      </c>
      <c r="R189" s="13">
        <v>0</v>
      </c>
      <c r="S189" s="13" t="s">
        <v>35</v>
      </c>
      <c r="T189" s="16">
        <v>42582</v>
      </c>
      <c r="U189" s="14">
        <f>EDATE(T189,2)</f>
        <v>42643</v>
      </c>
      <c r="V189" s="8">
        <v>42640</v>
      </c>
    </row>
    <row r="190" spans="1:22" s="1" customFormat="1" ht="120" x14ac:dyDescent="0.25">
      <c r="A190" s="23" t="s">
        <v>1637</v>
      </c>
      <c r="B190" s="21">
        <v>41061</v>
      </c>
      <c r="C190" s="2" t="s">
        <v>1638</v>
      </c>
      <c r="D190" s="11" t="s">
        <v>2727</v>
      </c>
      <c r="E190" s="4" t="s">
        <v>1631</v>
      </c>
      <c r="F190" s="4" t="s">
        <v>1639</v>
      </c>
      <c r="G190" s="4" t="s">
        <v>38</v>
      </c>
      <c r="H190" s="11" t="s">
        <v>1633</v>
      </c>
      <c r="I190" s="5" t="s">
        <v>64</v>
      </c>
      <c r="J190" s="11" t="s">
        <v>1099</v>
      </c>
      <c r="K190" s="12">
        <v>44044</v>
      </c>
      <c r="L190" s="12">
        <v>42236</v>
      </c>
      <c r="M190" s="6">
        <v>43678</v>
      </c>
      <c r="N190" s="11" t="s">
        <v>47</v>
      </c>
      <c r="O190" s="13">
        <v>200</v>
      </c>
      <c r="P190" s="13"/>
      <c r="Q190" s="13">
        <v>0</v>
      </c>
      <c r="R190" s="13">
        <v>0</v>
      </c>
      <c r="S190" s="13" t="s">
        <v>35</v>
      </c>
      <c r="T190" s="16">
        <v>42582</v>
      </c>
      <c r="U190" s="14">
        <f>EDATE(T190,2)</f>
        <v>42643</v>
      </c>
      <c r="V190" s="8"/>
    </row>
    <row r="191" spans="1:22" s="1" customFormat="1" ht="48" x14ac:dyDescent="0.25">
      <c r="A191" s="25" t="s">
        <v>1640</v>
      </c>
      <c r="B191" s="21">
        <v>43435</v>
      </c>
      <c r="C191" s="2" t="s">
        <v>1641</v>
      </c>
      <c r="D191" s="11" t="s">
        <v>2732</v>
      </c>
      <c r="E191" s="4" t="s">
        <v>1642</v>
      </c>
      <c r="F191" s="11" t="s">
        <v>1643</v>
      </c>
      <c r="G191" s="4" t="s">
        <v>32</v>
      </c>
      <c r="H191" s="20"/>
      <c r="I191" s="20" t="s">
        <v>33</v>
      </c>
      <c r="J191" s="11" t="s">
        <v>34</v>
      </c>
      <c r="K191" s="12">
        <v>43883</v>
      </c>
      <c r="L191" s="12"/>
      <c r="M191" s="19">
        <v>43441</v>
      </c>
      <c r="N191" s="11" t="s">
        <v>47</v>
      </c>
      <c r="O191" s="13">
        <v>200</v>
      </c>
      <c r="P191" s="13"/>
      <c r="Q191" s="13"/>
      <c r="R191" s="13"/>
      <c r="S191" s="13"/>
      <c r="T191" s="4"/>
      <c r="U191" s="14"/>
      <c r="V191" s="15"/>
    </row>
    <row r="192" spans="1:22" s="1" customFormat="1" ht="69" customHeight="1" x14ac:dyDescent="0.25">
      <c r="A192" s="23" t="s">
        <v>1644</v>
      </c>
      <c r="B192" s="21">
        <v>43191</v>
      </c>
      <c r="C192" s="2" t="s">
        <v>1645</v>
      </c>
      <c r="D192" s="11" t="s">
        <v>2732</v>
      </c>
      <c r="E192" s="4" t="s">
        <v>1646</v>
      </c>
      <c r="F192" s="11" t="s">
        <v>1647</v>
      </c>
      <c r="G192" s="11" t="s">
        <v>32</v>
      </c>
      <c r="H192" s="20"/>
      <c r="I192" s="5" t="s">
        <v>33</v>
      </c>
      <c r="J192" s="11" t="s">
        <v>34</v>
      </c>
      <c r="K192" s="12">
        <v>44045</v>
      </c>
      <c r="L192" s="12"/>
      <c r="M192" s="19">
        <v>43679</v>
      </c>
      <c r="N192" s="11" t="s">
        <v>47</v>
      </c>
      <c r="O192" s="13">
        <v>200</v>
      </c>
      <c r="P192" s="13"/>
      <c r="Q192" s="13"/>
      <c r="R192" s="13"/>
      <c r="S192" s="13"/>
      <c r="T192" s="4"/>
      <c r="U192" s="14"/>
      <c r="V192" s="15"/>
    </row>
    <row r="193" spans="1:22" ht="96" x14ac:dyDescent="0.25">
      <c r="A193" s="2" t="s">
        <v>1648</v>
      </c>
      <c r="B193" s="3"/>
      <c r="C193" s="10" t="s">
        <v>1649</v>
      </c>
      <c r="D193" s="11" t="s">
        <v>2787</v>
      </c>
      <c r="E193" s="4" t="s">
        <v>1650</v>
      </c>
      <c r="F193" s="4" t="s">
        <v>1651</v>
      </c>
      <c r="G193" s="4" t="s">
        <v>351</v>
      </c>
      <c r="H193" s="11" t="s">
        <v>1652</v>
      </c>
      <c r="I193" s="5" t="s">
        <v>33</v>
      </c>
      <c r="J193" s="4" t="s">
        <v>34</v>
      </c>
      <c r="K193" s="12">
        <v>44119</v>
      </c>
      <c r="L193" s="12">
        <v>42055</v>
      </c>
      <c r="M193" s="19">
        <v>43753</v>
      </c>
      <c r="N193" s="11" t="s">
        <v>26</v>
      </c>
      <c r="O193" s="13">
        <v>200</v>
      </c>
      <c r="P193" s="13"/>
      <c r="Q193" s="13" t="s">
        <v>1653</v>
      </c>
      <c r="R193" s="13" t="s">
        <v>1653</v>
      </c>
      <c r="S193" s="13" t="s">
        <v>35</v>
      </c>
      <c r="T193" s="16">
        <v>42674</v>
      </c>
      <c r="U193" s="14">
        <f>EDATE(T193,2)</f>
        <v>42735</v>
      </c>
      <c r="V193" s="8">
        <v>42711</v>
      </c>
    </row>
    <row r="194" spans="1:22" s="1" customFormat="1" ht="59.25" customHeight="1" x14ac:dyDescent="0.25">
      <c r="A194" s="23" t="s">
        <v>1654</v>
      </c>
      <c r="B194" s="21">
        <v>43466</v>
      </c>
      <c r="C194" s="2" t="s">
        <v>1655</v>
      </c>
      <c r="D194" s="11" t="s">
        <v>2749</v>
      </c>
      <c r="E194" s="4" t="s">
        <v>1656</v>
      </c>
      <c r="F194" s="11" t="s">
        <v>1657</v>
      </c>
      <c r="G194" s="4" t="s">
        <v>90</v>
      </c>
      <c r="H194" s="20" t="s">
        <v>185</v>
      </c>
      <c r="I194" s="5" t="s">
        <v>33</v>
      </c>
      <c r="J194" s="11" t="s">
        <v>34</v>
      </c>
      <c r="K194" s="12">
        <v>43797</v>
      </c>
      <c r="L194" s="12"/>
      <c r="M194" s="19">
        <v>43795</v>
      </c>
      <c r="N194" s="11" t="s">
        <v>52</v>
      </c>
      <c r="O194" s="13">
        <v>200</v>
      </c>
      <c r="P194" s="13"/>
      <c r="Q194" s="13"/>
      <c r="R194" s="13"/>
      <c r="S194" s="13"/>
      <c r="T194" s="4"/>
      <c r="U194" s="14"/>
      <c r="V194" s="15"/>
    </row>
    <row r="195" spans="1:22" ht="48" x14ac:dyDescent="0.25">
      <c r="A195" s="23" t="s">
        <v>1658</v>
      </c>
      <c r="B195" s="21">
        <v>43435</v>
      </c>
      <c r="C195" s="2" t="s">
        <v>1659</v>
      </c>
      <c r="D195" s="11" t="s">
        <v>2731</v>
      </c>
      <c r="E195" s="4" t="s">
        <v>1660</v>
      </c>
      <c r="F195" s="11" t="s">
        <v>77</v>
      </c>
      <c r="G195" s="4" t="s">
        <v>32</v>
      </c>
      <c r="H195" s="20"/>
      <c r="I195" s="5" t="s">
        <v>498</v>
      </c>
      <c r="J195" s="11" t="s">
        <v>34</v>
      </c>
      <c r="K195" s="12">
        <v>43787</v>
      </c>
      <c r="L195" s="12"/>
      <c r="M195" s="19">
        <v>43525</v>
      </c>
      <c r="N195" s="11" t="s">
        <v>47</v>
      </c>
      <c r="O195" s="13">
        <v>200</v>
      </c>
      <c r="P195" s="13" t="s">
        <v>41</v>
      </c>
      <c r="Q195" s="13"/>
      <c r="R195" s="13"/>
      <c r="S195" s="13"/>
      <c r="T195" s="4"/>
      <c r="U195" s="14"/>
      <c r="V195" s="15"/>
    </row>
    <row r="196" spans="1:22" ht="48" x14ac:dyDescent="0.25">
      <c r="A196" s="2" t="s">
        <v>1661</v>
      </c>
      <c r="B196" s="147"/>
      <c r="C196" s="10" t="s">
        <v>1662</v>
      </c>
      <c r="D196" s="10"/>
      <c r="E196" s="4" t="s">
        <v>1663</v>
      </c>
      <c r="F196" s="4" t="s">
        <v>262</v>
      </c>
      <c r="G196" s="4" t="s">
        <v>50</v>
      </c>
      <c r="H196" s="4" t="s">
        <v>51</v>
      </c>
      <c r="I196" s="17" t="s">
        <v>33</v>
      </c>
      <c r="J196" s="4" t="s">
        <v>93</v>
      </c>
      <c r="K196" s="12">
        <v>44012</v>
      </c>
      <c r="L196" s="12">
        <v>42195</v>
      </c>
      <c r="M196" s="18">
        <v>43646</v>
      </c>
      <c r="N196" s="11" t="s">
        <v>52</v>
      </c>
      <c r="O196" s="13">
        <v>200</v>
      </c>
      <c r="P196" s="13"/>
      <c r="Q196" s="13">
        <v>100</v>
      </c>
      <c r="R196" s="13">
        <v>100</v>
      </c>
      <c r="S196" s="13" t="s">
        <v>29</v>
      </c>
      <c r="T196" s="16">
        <v>42735</v>
      </c>
      <c r="U196" s="14">
        <f>EDATE(T196,2)</f>
        <v>42794</v>
      </c>
      <c r="V196" s="8">
        <v>42794</v>
      </c>
    </row>
    <row r="197" spans="1:22" s="1" customFormat="1" ht="69" customHeight="1" x14ac:dyDescent="0.25">
      <c r="A197" s="148" t="s">
        <v>1677</v>
      </c>
      <c r="B197" s="168">
        <v>43374</v>
      </c>
      <c r="C197" s="148" t="s">
        <v>948</v>
      </c>
      <c r="D197" s="148"/>
      <c r="E197" s="149" t="s">
        <v>623</v>
      </c>
      <c r="F197" s="155" t="s">
        <v>624</v>
      </c>
      <c r="G197" s="149" t="s">
        <v>139</v>
      </c>
      <c r="H197" s="167"/>
      <c r="I197" s="167" t="s">
        <v>228</v>
      </c>
      <c r="J197" s="155" t="s">
        <v>85</v>
      </c>
      <c r="K197" s="156">
        <v>44019</v>
      </c>
      <c r="L197" s="156"/>
      <c r="M197" s="166">
        <v>43875</v>
      </c>
      <c r="N197" s="155" t="s">
        <v>52</v>
      </c>
      <c r="O197" s="157">
        <v>200</v>
      </c>
      <c r="P197" s="157"/>
      <c r="Q197" s="157"/>
      <c r="R197" s="157"/>
      <c r="S197" s="157"/>
      <c r="T197" s="149"/>
      <c r="U197" s="158"/>
      <c r="V197" s="173"/>
    </row>
    <row r="198" spans="1:22" s="1" customFormat="1" ht="69" customHeight="1" x14ac:dyDescent="0.25">
      <c r="A198" s="150" t="s">
        <v>1678</v>
      </c>
      <c r="B198" s="169">
        <v>43374</v>
      </c>
      <c r="C198" s="150" t="s">
        <v>949</v>
      </c>
      <c r="D198" s="150"/>
      <c r="E198" s="152" t="s">
        <v>623</v>
      </c>
      <c r="F198" s="160" t="s">
        <v>625</v>
      </c>
      <c r="G198" s="152" t="s">
        <v>139</v>
      </c>
      <c r="H198" s="170"/>
      <c r="I198" s="170" t="s">
        <v>228</v>
      </c>
      <c r="J198" s="160" t="s">
        <v>85</v>
      </c>
      <c r="K198" s="161">
        <v>44019</v>
      </c>
      <c r="L198" s="161"/>
      <c r="M198" s="165">
        <v>43510</v>
      </c>
      <c r="N198" s="160" t="s">
        <v>47</v>
      </c>
      <c r="O198" s="162">
        <v>200</v>
      </c>
      <c r="P198" s="162"/>
      <c r="Q198" s="162"/>
      <c r="R198" s="162"/>
      <c r="S198" s="162"/>
      <c r="T198" s="152"/>
      <c r="U198" s="164"/>
      <c r="V198" s="177"/>
    </row>
    <row r="199" spans="1:22" ht="48" x14ac:dyDescent="0.25">
      <c r="A199" s="150" t="s">
        <v>1679</v>
      </c>
      <c r="B199" s="151"/>
      <c r="C199" s="159" t="s">
        <v>787</v>
      </c>
      <c r="D199" s="159"/>
      <c r="E199" s="152" t="s">
        <v>224</v>
      </c>
      <c r="F199" s="152" t="s">
        <v>165</v>
      </c>
      <c r="G199" s="152" t="s">
        <v>50</v>
      </c>
      <c r="H199" s="160" t="s">
        <v>51</v>
      </c>
      <c r="I199" s="153" t="s">
        <v>33</v>
      </c>
      <c r="J199" s="160" t="s">
        <v>34</v>
      </c>
      <c r="K199" s="161">
        <v>44049</v>
      </c>
      <c r="L199" s="161"/>
      <c r="M199" s="154">
        <v>44067</v>
      </c>
      <c r="N199" s="160" t="s">
        <v>52</v>
      </c>
      <c r="O199" s="162">
        <v>200</v>
      </c>
      <c r="P199" s="162"/>
      <c r="Q199" s="162"/>
      <c r="R199" s="162"/>
      <c r="S199" s="162" t="s">
        <v>29</v>
      </c>
      <c r="T199" s="163">
        <v>42551</v>
      </c>
      <c r="U199" s="164">
        <f>EDATE(T199,2)</f>
        <v>42612</v>
      </c>
      <c r="V199" s="172">
        <v>42607</v>
      </c>
    </row>
    <row r="200" spans="1:22" ht="48" x14ac:dyDescent="0.25">
      <c r="A200" s="239" t="s">
        <v>1680</v>
      </c>
      <c r="B200" s="309"/>
      <c r="C200" s="239" t="s">
        <v>966</v>
      </c>
      <c r="D200" s="400" t="s">
        <v>2775</v>
      </c>
      <c r="E200" s="187" t="s">
        <v>666</v>
      </c>
      <c r="F200" s="310" t="s">
        <v>667</v>
      </c>
      <c r="G200" s="310" t="s">
        <v>38</v>
      </c>
      <c r="H200" s="330"/>
      <c r="I200" s="198" t="s">
        <v>39</v>
      </c>
      <c r="J200" s="310" t="s">
        <v>678</v>
      </c>
      <c r="K200" s="311">
        <v>44289</v>
      </c>
      <c r="L200" s="315"/>
      <c r="M200" s="312">
        <v>43960</v>
      </c>
      <c r="N200" s="192" t="s">
        <v>52</v>
      </c>
      <c r="O200" s="313">
        <v>200</v>
      </c>
      <c r="P200" s="316"/>
      <c r="Q200" s="316"/>
      <c r="R200" s="316"/>
      <c r="S200" s="316"/>
      <c r="T200" s="317"/>
      <c r="U200" s="318"/>
      <c r="V200" s="178"/>
    </row>
    <row r="201" spans="1:22" s="32" customFormat="1" ht="60" x14ac:dyDescent="0.2">
      <c r="A201" s="305" t="s">
        <v>1681</v>
      </c>
      <c r="B201" s="304">
        <v>43647</v>
      </c>
      <c r="C201" s="305" t="s">
        <v>969</v>
      </c>
      <c r="D201" s="11" t="s">
        <v>2775</v>
      </c>
      <c r="E201" s="189" t="s">
        <v>672</v>
      </c>
      <c r="F201" s="273" t="s">
        <v>62</v>
      </c>
      <c r="G201" s="273" t="s">
        <v>38</v>
      </c>
      <c r="H201" s="273"/>
      <c r="I201" s="17" t="s">
        <v>39</v>
      </c>
      <c r="J201" s="273" t="s">
        <v>678</v>
      </c>
      <c r="K201" s="26">
        <v>44354</v>
      </c>
      <c r="L201" s="26"/>
      <c r="M201" s="306">
        <v>44009</v>
      </c>
      <c r="N201" s="11" t="s">
        <v>52</v>
      </c>
      <c r="O201" s="307">
        <v>200</v>
      </c>
      <c r="P201" s="13" t="s">
        <v>41</v>
      </c>
      <c r="Q201" s="307"/>
      <c r="R201" s="307"/>
      <c r="S201" s="307"/>
      <c r="T201" s="16"/>
      <c r="U201" s="190"/>
      <c r="V201" s="172"/>
    </row>
    <row r="202" spans="1:22" s="32" customFormat="1" ht="72" x14ac:dyDescent="0.2">
      <c r="A202" s="239" t="s">
        <v>1697</v>
      </c>
      <c r="B202" s="309">
        <v>43678</v>
      </c>
      <c r="C202" s="239" t="s">
        <v>968</v>
      </c>
      <c r="D202" s="400" t="s">
        <v>2786</v>
      </c>
      <c r="E202" s="187" t="s">
        <v>670</v>
      </c>
      <c r="F202" s="310" t="s">
        <v>671</v>
      </c>
      <c r="G202" s="310" t="s">
        <v>50</v>
      </c>
      <c r="H202" s="310"/>
      <c r="I202" s="198" t="s">
        <v>33</v>
      </c>
      <c r="J202" s="351" t="s">
        <v>659</v>
      </c>
      <c r="K202" s="352">
        <v>44389</v>
      </c>
      <c r="L202" s="311"/>
      <c r="M202" s="312">
        <v>44016</v>
      </c>
      <c r="N202" s="192" t="s">
        <v>52</v>
      </c>
      <c r="O202" s="313">
        <v>200</v>
      </c>
      <c r="P202" s="313"/>
      <c r="Q202" s="313"/>
      <c r="R202" s="313"/>
      <c r="S202" s="313"/>
      <c r="T202" s="197"/>
      <c r="U202" s="188"/>
      <c r="V202" s="171"/>
    </row>
    <row r="203" spans="1:22" ht="48" x14ac:dyDescent="0.25">
      <c r="A203" s="2" t="s">
        <v>1764</v>
      </c>
      <c r="B203" s="3"/>
      <c r="C203" s="10" t="s">
        <v>740</v>
      </c>
      <c r="D203" s="11" t="s">
        <v>2727</v>
      </c>
      <c r="E203" s="4" t="s">
        <v>61</v>
      </c>
      <c r="F203" s="4" t="s">
        <v>62</v>
      </c>
      <c r="G203" s="4" t="s">
        <v>55</v>
      </c>
      <c r="H203" s="11" t="s">
        <v>63</v>
      </c>
      <c r="I203" s="5" t="s">
        <v>64</v>
      </c>
      <c r="J203" s="5" t="s">
        <v>40</v>
      </c>
      <c r="K203" s="335">
        <v>44292</v>
      </c>
      <c r="L203" s="12"/>
      <c r="M203" s="6">
        <v>37288</v>
      </c>
      <c r="N203" s="4" t="s">
        <v>65</v>
      </c>
      <c r="O203" s="7">
        <v>200</v>
      </c>
      <c r="P203" s="13" t="s">
        <v>27</v>
      </c>
      <c r="Q203" s="7"/>
      <c r="R203" s="7"/>
      <c r="S203" s="7" t="s">
        <v>29</v>
      </c>
      <c r="T203" s="16">
        <v>42400</v>
      </c>
      <c r="U203" s="14">
        <f>EDATE(T203,2)</f>
        <v>42460</v>
      </c>
      <c r="V203" s="172">
        <v>42457</v>
      </c>
    </row>
    <row r="204" spans="1:22" ht="36" x14ac:dyDescent="0.25">
      <c r="A204" s="3">
        <v>5440</v>
      </c>
      <c r="B204" s="246" t="s">
        <v>1699</v>
      </c>
      <c r="C204" s="2" t="s">
        <v>893</v>
      </c>
      <c r="D204" s="11"/>
      <c r="E204" s="4" t="s">
        <v>439</v>
      </c>
      <c r="F204" s="11" t="s">
        <v>529</v>
      </c>
      <c r="G204" s="4" t="s">
        <v>44</v>
      </c>
      <c r="H204" s="11"/>
      <c r="I204" s="5" t="s">
        <v>39</v>
      </c>
      <c r="J204" s="20" t="s">
        <v>678</v>
      </c>
      <c r="K204" s="335">
        <v>44255</v>
      </c>
      <c r="L204" s="12"/>
      <c r="M204" s="6">
        <v>43189</v>
      </c>
      <c r="N204" s="11" t="s">
        <v>52</v>
      </c>
      <c r="O204" s="13"/>
      <c r="P204" s="13"/>
      <c r="Q204" s="13"/>
      <c r="R204" s="13"/>
      <c r="S204" s="13"/>
      <c r="T204" s="4"/>
      <c r="U204" s="14"/>
      <c r="V204" s="177"/>
    </row>
    <row r="205" spans="1:22" ht="48" x14ac:dyDescent="0.25">
      <c r="A205" s="242" t="s">
        <v>1765</v>
      </c>
      <c r="B205" s="207"/>
      <c r="C205" s="226" t="s">
        <v>744</v>
      </c>
      <c r="D205" s="210" t="s">
        <v>2727</v>
      </c>
      <c r="E205" s="209" t="s">
        <v>73</v>
      </c>
      <c r="F205" s="209" t="s">
        <v>62</v>
      </c>
      <c r="G205" s="209" t="s">
        <v>55</v>
      </c>
      <c r="H205" s="210" t="s">
        <v>74</v>
      </c>
      <c r="I205" s="211" t="s">
        <v>64</v>
      </c>
      <c r="J205" s="281" t="s">
        <v>75</v>
      </c>
      <c r="K205" s="281" t="s">
        <v>75</v>
      </c>
      <c r="L205" s="212"/>
      <c r="M205" s="227"/>
      <c r="N205" s="209" t="s">
        <v>65</v>
      </c>
      <c r="O205" s="215">
        <v>200</v>
      </c>
      <c r="P205" s="13" t="s">
        <v>27</v>
      </c>
      <c r="Q205" s="215"/>
      <c r="R205" s="215"/>
      <c r="S205" s="215"/>
      <c r="T205" s="16">
        <v>42735</v>
      </c>
      <c r="U205" s="14">
        <f>EDATE(T205,2)</f>
        <v>42794</v>
      </c>
      <c r="V205" s="172"/>
    </row>
    <row r="206" spans="1:22" s="9" customFormat="1" ht="83.25" customHeight="1" x14ac:dyDescent="0.25">
      <c r="A206" s="181" t="s">
        <v>1776</v>
      </c>
      <c r="B206" s="247">
        <v>42125</v>
      </c>
      <c r="C206" s="181" t="s">
        <v>854</v>
      </c>
      <c r="D206" s="192" t="s">
        <v>2770</v>
      </c>
      <c r="E206" s="184" t="s">
        <v>436</v>
      </c>
      <c r="F206" s="192" t="s">
        <v>437</v>
      </c>
      <c r="G206" s="184" t="s">
        <v>95</v>
      </c>
      <c r="H206" s="244" t="s">
        <v>438</v>
      </c>
      <c r="I206" s="185" t="s">
        <v>56</v>
      </c>
      <c r="J206" s="334" t="s">
        <v>678</v>
      </c>
      <c r="K206" s="334">
        <v>44282</v>
      </c>
      <c r="L206" s="193">
        <v>42432</v>
      </c>
      <c r="M206" s="241">
        <v>43190</v>
      </c>
      <c r="N206" s="192" t="s">
        <v>52</v>
      </c>
      <c r="O206" s="194">
        <v>200</v>
      </c>
      <c r="P206" s="194"/>
      <c r="Q206" s="194">
        <v>100</v>
      </c>
      <c r="R206" s="194">
        <v>0</v>
      </c>
      <c r="S206" s="194"/>
      <c r="T206" s="197">
        <v>42551</v>
      </c>
      <c r="U206" s="196">
        <f>EDATE(T206,2)</f>
        <v>42612</v>
      </c>
      <c r="V206" s="171">
        <v>42612</v>
      </c>
    </row>
    <row r="207" spans="1:22" s="32" customFormat="1" ht="96" x14ac:dyDescent="0.2">
      <c r="A207" s="239" t="s">
        <v>1760</v>
      </c>
      <c r="B207" s="309">
        <v>43678</v>
      </c>
      <c r="C207" s="239" t="s">
        <v>972</v>
      </c>
      <c r="D207" s="400"/>
      <c r="E207" s="187" t="s">
        <v>676</v>
      </c>
      <c r="F207" s="310" t="s">
        <v>677</v>
      </c>
      <c r="G207" s="310" t="s">
        <v>139</v>
      </c>
      <c r="H207" s="310" t="s">
        <v>1705</v>
      </c>
      <c r="I207" s="198" t="s">
        <v>33</v>
      </c>
      <c r="J207" s="351" t="s">
        <v>678</v>
      </c>
      <c r="K207" s="352">
        <v>44389</v>
      </c>
      <c r="L207" s="311"/>
      <c r="M207" s="312">
        <v>44027</v>
      </c>
      <c r="N207" s="192" t="s">
        <v>52</v>
      </c>
      <c r="O207" s="313">
        <v>200</v>
      </c>
      <c r="P207" s="313"/>
      <c r="Q207" s="313"/>
      <c r="R207" s="313"/>
      <c r="S207" s="313"/>
      <c r="T207" s="197"/>
      <c r="U207" s="188"/>
      <c r="V207" s="171"/>
    </row>
    <row r="208" spans="1:22" s="32" customFormat="1" ht="60" x14ac:dyDescent="0.2">
      <c r="A208" s="305" t="s">
        <v>1766</v>
      </c>
      <c r="B208" s="304">
        <v>43770</v>
      </c>
      <c r="C208" s="305" t="s">
        <v>978</v>
      </c>
      <c r="D208" s="11" t="s">
        <v>2775</v>
      </c>
      <c r="E208" s="189" t="s">
        <v>692</v>
      </c>
      <c r="F208" s="273" t="s">
        <v>326</v>
      </c>
      <c r="G208" s="273" t="s">
        <v>32</v>
      </c>
      <c r="H208" s="273"/>
      <c r="I208" s="5" t="s">
        <v>39</v>
      </c>
      <c r="J208" s="20" t="s">
        <v>678</v>
      </c>
      <c r="K208" s="350">
        <v>44463</v>
      </c>
      <c r="L208" s="26"/>
      <c r="M208" s="306">
        <v>44098</v>
      </c>
      <c r="N208" s="273" t="s">
        <v>52</v>
      </c>
      <c r="O208" s="307">
        <v>200</v>
      </c>
      <c r="P208" s="13" t="s">
        <v>41</v>
      </c>
      <c r="Q208" s="307"/>
      <c r="R208" s="307"/>
      <c r="S208" s="307"/>
      <c r="T208" s="16"/>
      <c r="U208" s="190"/>
      <c r="V208" s="172"/>
    </row>
    <row r="209" spans="1:22" ht="36" x14ac:dyDescent="0.25">
      <c r="A209" s="181" t="s">
        <v>1777</v>
      </c>
      <c r="B209" s="247">
        <v>42979</v>
      </c>
      <c r="C209" s="181" t="s">
        <v>907</v>
      </c>
      <c r="D209" s="192" t="s">
        <v>2727</v>
      </c>
      <c r="E209" s="184" t="s">
        <v>545</v>
      </c>
      <c r="F209" s="192" t="s">
        <v>198</v>
      </c>
      <c r="G209" s="184" t="s">
        <v>189</v>
      </c>
      <c r="H209" s="244" t="s">
        <v>1716</v>
      </c>
      <c r="I209" s="185"/>
      <c r="J209" s="244" t="s">
        <v>40</v>
      </c>
      <c r="K209" s="334">
        <v>44419</v>
      </c>
      <c r="L209" s="193"/>
      <c r="M209" s="241">
        <v>44054</v>
      </c>
      <c r="N209" s="192" t="s">
        <v>47</v>
      </c>
      <c r="O209" s="194">
        <v>200</v>
      </c>
      <c r="P209" s="194"/>
      <c r="Q209" s="194"/>
      <c r="R209" s="194"/>
      <c r="S209" s="194"/>
      <c r="T209" s="184"/>
      <c r="U209" s="196"/>
      <c r="V209" s="173"/>
    </row>
    <row r="210" spans="1:22" ht="60" x14ac:dyDescent="0.25">
      <c r="A210" s="2" t="s">
        <v>1780</v>
      </c>
      <c r="B210" s="3"/>
      <c r="C210" s="2" t="s">
        <v>746</v>
      </c>
      <c r="D210" s="11" t="s">
        <v>2727</v>
      </c>
      <c r="E210" s="4" t="s">
        <v>78</v>
      </c>
      <c r="F210" s="4" t="s">
        <v>79</v>
      </c>
      <c r="G210" s="4" t="s">
        <v>80</v>
      </c>
      <c r="H210" s="11"/>
      <c r="I210" s="5" t="s">
        <v>33</v>
      </c>
      <c r="J210" s="20" t="s">
        <v>678</v>
      </c>
      <c r="K210" s="335">
        <v>44530</v>
      </c>
      <c r="L210" s="12">
        <v>42063</v>
      </c>
      <c r="M210" s="6">
        <v>44165</v>
      </c>
      <c r="N210" s="11" t="s">
        <v>153</v>
      </c>
      <c r="O210" s="13">
        <v>200</v>
      </c>
      <c r="P210" s="13"/>
      <c r="Q210" s="7"/>
      <c r="R210" s="7"/>
      <c r="S210" s="7" t="s">
        <v>29</v>
      </c>
      <c r="T210" s="16">
        <v>42735</v>
      </c>
      <c r="U210" s="14">
        <f>EDATE(T210,2)</f>
        <v>42794</v>
      </c>
      <c r="V210" s="172">
        <v>42418</v>
      </c>
    </row>
    <row r="211" spans="1:22" ht="180" x14ac:dyDescent="0.25">
      <c r="A211" s="240" t="s">
        <v>1827</v>
      </c>
      <c r="B211" s="230" t="s">
        <v>254</v>
      </c>
      <c r="C211" s="240" t="s">
        <v>796</v>
      </c>
      <c r="D211" s="11"/>
      <c r="E211" s="232" t="s">
        <v>255</v>
      </c>
      <c r="F211" s="232" t="s">
        <v>256</v>
      </c>
      <c r="G211" s="232" t="s">
        <v>189</v>
      </c>
      <c r="H211" s="234" t="s">
        <v>1708</v>
      </c>
      <c r="I211" s="5" t="s">
        <v>33</v>
      </c>
      <c r="J211" s="233" t="s">
        <v>678</v>
      </c>
      <c r="K211" s="342">
        <v>44540</v>
      </c>
      <c r="L211" s="235">
        <v>42836</v>
      </c>
      <c r="M211" s="236">
        <v>44175</v>
      </c>
      <c r="N211" s="234" t="s">
        <v>26</v>
      </c>
      <c r="O211" s="237">
        <v>200</v>
      </c>
      <c r="P211" s="237"/>
      <c r="Q211" s="237" t="s">
        <v>1700</v>
      </c>
      <c r="R211" s="237">
        <v>0</v>
      </c>
      <c r="S211" s="237" t="s">
        <v>29</v>
      </c>
      <c r="T211" s="16">
        <v>42428</v>
      </c>
      <c r="U211" s="14">
        <f>EDATE(T211,2)</f>
        <v>42488</v>
      </c>
      <c r="V211" s="172">
        <v>42487</v>
      </c>
    </row>
    <row r="212" spans="1:22" ht="228" x14ac:dyDescent="0.25">
      <c r="A212" s="242" t="s">
        <v>1820</v>
      </c>
      <c r="B212" s="3"/>
      <c r="C212" s="10" t="s">
        <v>752</v>
      </c>
      <c r="D212" s="10"/>
      <c r="E212" s="4" t="s">
        <v>97</v>
      </c>
      <c r="F212" s="4" t="s">
        <v>98</v>
      </c>
      <c r="G212" s="4" t="s">
        <v>55</v>
      </c>
      <c r="H212" s="11" t="s">
        <v>99</v>
      </c>
      <c r="I212" s="5" t="s">
        <v>33</v>
      </c>
      <c r="J212" s="20" t="s">
        <v>1668</v>
      </c>
      <c r="K212" s="335">
        <v>44467</v>
      </c>
      <c r="L212" s="12">
        <v>42216</v>
      </c>
      <c r="M212" s="6">
        <v>44102</v>
      </c>
      <c r="N212" s="11" t="s">
        <v>26</v>
      </c>
      <c r="O212" s="13">
        <v>200</v>
      </c>
      <c r="P212" s="13"/>
      <c r="Q212" s="13"/>
      <c r="R212" s="13"/>
      <c r="S212" s="13" t="s">
        <v>29</v>
      </c>
      <c r="T212" s="16">
        <v>42490</v>
      </c>
      <c r="U212" s="14">
        <f>EDATE(T212,2)</f>
        <v>42551</v>
      </c>
      <c r="V212" s="172">
        <v>42543</v>
      </c>
    </row>
    <row r="213" spans="1:22" ht="36" x14ac:dyDescent="0.25">
      <c r="A213" s="2" t="s">
        <v>1901</v>
      </c>
      <c r="B213" s="21"/>
      <c r="C213" s="2" t="s">
        <v>1903</v>
      </c>
      <c r="D213" s="11" t="s">
        <v>2725</v>
      </c>
      <c r="E213" s="4" t="s">
        <v>1902</v>
      </c>
      <c r="F213" s="4">
        <v>148</v>
      </c>
      <c r="G213" s="4" t="s">
        <v>189</v>
      </c>
      <c r="H213" s="11"/>
      <c r="I213" s="5"/>
      <c r="J213" s="20"/>
      <c r="K213" s="335"/>
      <c r="L213" s="12"/>
      <c r="M213" s="6"/>
      <c r="N213" s="11"/>
      <c r="O213" s="13"/>
      <c r="P213" s="13"/>
      <c r="Q213" s="13"/>
      <c r="R213" s="13"/>
      <c r="S213" s="13"/>
      <c r="T213" s="16"/>
      <c r="U213" s="14"/>
      <c r="V213" s="172"/>
    </row>
    <row r="214" spans="1:22" s="24" customFormat="1" ht="60" x14ac:dyDescent="0.25">
      <c r="A214" s="2" t="s">
        <v>1898</v>
      </c>
      <c r="B214" s="21">
        <v>43070</v>
      </c>
      <c r="C214" s="2" t="s">
        <v>924</v>
      </c>
      <c r="D214" s="11" t="s">
        <v>2732</v>
      </c>
      <c r="E214" s="4" t="s">
        <v>577</v>
      </c>
      <c r="F214" s="11">
        <v>70</v>
      </c>
      <c r="G214" s="4" t="s">
        <v>50</v>
      </c>
      <c r="H214" s="20"/>
      <c r="I214" s="5" t="s">
        <v>33</v>
      </c>
      <c r="J214" s="20" t="s">
        <v>1774</v>
      </c>
      <c r="K214" s="335">
        <v>44515</v>
      </c>
      <c r="L214" s="12"/>
      <c r="M214" s="19">
        <v>44150</v>
      </c>
      <c r="N214" s="11" t="s">
        <v>47</v>
      </c>
      <c r="O214" s="13">
        <v>200</v>
      </c>
      <c r="P214" s="13"/>
      <c r="Q214" s="13">
        <v>100</v>
      </c>
      <c r="R214" s="13">
        <v>100</v>
      </c>
      <c r="S214" s="13"/>
      <c r="T214" s="4"/>
      <c r="U214" s="14"/>
      <c r="V214" s="177"/>
    </row>
    <row r="215" spans="1:22" ht="36.75" x14ac:dyDescent="0.25">
      <c r="A215" s="181" t="s">
        <v>1899</v>
      </c>
      <c r="B215" s="247">
        <v>42278</v>
      </c>
      <c r="C215" s="181" t="s">
        <v>859</v>
      </c>
      <c r="D215" s="400" t="s">
        <v>2731</v>
      </c>
      <c r="E215" s="184" t="s">
        <v>447</v>
      </c>
      <c r="F215" s="192" t="s">
        <v>448</v>
      </c>
      <c r="G215" s="184" t="s">
        <v>95</v>
      </c>
      <c r="H215" s="271" t="s">
        <v>449</v>
      </c>
      <c r="I215" s="185" t="s">
        <v>33</v>
      </c>
      <c r="J215" s="244" t="s">
        <v>678</v>
      </c>
      <c r="K215" s="334">
        <v>44794</v>
      </c>
      <c r="L215" s="193"/>
      <c r="M215" s="241">
        <v>44429</v>
      </c>
      <c r="N215" s="192" t="s">
        <v>441</v>
      </c>
      <c r="O215" s="194">
        <v>200</v>
      </c>
      <c r="P215" s="194"/>
      <c r="Q215" s="194">
        <v>100</v>
      </c>
      <c r="R215" s="194">
        <v>100</v>
      </c>
      <c r="S215" s="194"/>
      <c r="T215" s="197">
        <v>42521</v>
      </c>
      <c r="U215" s="196">
        <f>EDATE(T215,2)</f>
        <v>42582</v>
      </c>
      <c r="V215" s="171">
        <v>42514</v>
      </c>
    </row>
    <row r="216" spans="1:22" s="9" customFormat="1" ht="48" x14ac:dyDescent="0.25">
      <c r="A216" s="181" t="s">
        <v>1900</v>
      </c>
      <c r="B216" s="183"/>
      <c r="C216" s="181" t="s">
        <v>792</v>
      </c>
      <c r="D216" s="400" t="s">
        <v>2785</v>
      </c>
      <c r="E216" s="184" t="s">
        <v>242</v>
      </c>
      <c r="F216" s="184" t="s">
        <v>243</v>
      </c>
      <c r="G216" s="184" t="s">
        <v>95</v>
      </c>
      <c r="H216" s="192" t="s">
        <v>1867</v>
      </c>
      <c r="I216" s="185" t="s">
        <v>60</v>
      </c>
      <c r="J216" s="244" t="s">
        <v>678</v>
      </c>
      <c r="K216" s="334">
        <v>44731</v>
      </c>
      <c r="L216" s="193">
        <v>42074</v>
      </c>
      <c r="M216" s="186">
        <v>44366</v>
      </c>
      <c r="N216" s="192" t="s">
        <v>26</v>
      </c>
      <c r="O216" s="194">
        <v>200</v>
      </c>
      <c r="P216" s="194"/>
      <c r="Q216" s="194" t="s">
        <v>244</v>
      </c>
      <c r="R216" s="194">
        <v>100</v>
      </c>
      <c r="S216" s="194" t="s">
        <v>35</v>
      </c>
      <c r="T216" s="197">
        <v>42674</v>
      </c>
      <c r="U216" s="196">
        <f>EDATE(T216,2)</f>
        <v>42735</v>
      </c>
      <c r="V216" s="171">
        <v>42718</v>
      </c>
    </row>
    <row r="217" spans="1:22" ht="48.75" customHeight="1" x14ac:dyDescent="0.25">
      <c r="A217" s="2" t="s">
        <v>1916</v>
      </c>
      <c r="B217" s="21">
        <v>43304</v>
      </c>
      <c r="C217" s="2" t="s">
        <v>2074</v>
      </c>
      <c r="D217" s="11" t="s">
        <v>2757</v>
      </c>
      <c r="E217" s="4" t="s">
        <v>532</v>
      </c>
      <c r="F217" s="11">
        <v>7</v>
      </c>
      <c r="G217" s="4" t="s">
        <v>179</v>
      </c>
      <c r="H217" s="11"/>
      <c r="I217" s="5"/>
      <c r="J217" s="20"/>
      <c r="K217" s="335"/>
      <c r="L217" s="12"/>
      <c r="M217" s="6"/>
      <c r="N217" s="11"/>
      <c r="O217" s="13"/>
      <c r="P217" s="13"/>
      <c r="Q217" s="13"/>
      <c r="R217" s="13"/>
      <c r="S217" s="13"/>
      <c r="T217" s="4"/>
      <c r="U217" s="14"/>
      <c r="V217" s="177"/>
    </row>
    <row r="218" spans="1:22" s="29" customFormat="1" ht="93" customHeight="1" x14ac:dyDescent="0.25">
      <c r="A218" s="320" t="s">
        <v>1933</v>
      </c>
      <c r="B218" s="319">
        <v>43556</v>
      </c>
      <c r="C218" s="320" t="s">
        <v>1740</v>
      </c>
      <c r="D218" s="400"/>
      <c r="E218" s="321" t="s">
        <v>662</v>
      </c>
      <c r="F218" s="322" t="s">
        <v>663</v>
      </c>
      <c r="G218" s="322" t="s">
        <v>1881</v>
      </c>
      <c r="H218" s="322" t="s">
        <v>1861</v>
      </c>
      <c r="I218" s="323" t="s">
        <v>33</v>
      </c>
      <c r="J218" s="353" t="s">
        <v>40</v>
      </c>
      <c r="K218" s="354">
        <v>44648</v>
      </c>
      <c r="L218" s="324"/>
      <c r="M218" s="325">
        <v>44283</v>
      </c>
      <c r="N218" s="322" t="s">
        <v>26</v>
      </c>
      <c r="O218" s="326">
        <v>200</v>
      </c>
      <c r="P218" s="326"/>
      <c r="Q218" s="327">
        <v>200</v>
      </c>
      <c r="R218" s="327"/>
      <c r="S218" s="327"/>
      <c r="T218" s="328"/>
      <c r="U218" s="329"/>
      <c r="V218" s="179"/>
    </row>
    <row r="219" spans="1:22" s="32" customFormat="1" ht="60" x14ac:dyDescent="0.2">
      <c r="A219" s="305" t="s">
        <v>1935</v>
      </c>
      <c r="B219" s="304">
        <v>44228</v>
      </c>
      <c r="C219" s="305" t="s">
        <v>1758</v>
      </c>
      <c r="D219" s="11" t="s">
        <v>2733</v>
      </c>
      <c r="E219" s="189" t="s">
        <v>1755</v>
      </c>
      <c r="F219" s="273" t="s">
        <v>126</v>
      </c>
      <c r="G219" s="273" t="s">
        <v>50</v>
      </c>
      <c r="H219" s="273"/>
      <c r="I219" s="17" t="s">
        <v>1753</v>
      </c>
      <c r="J219" s="349" t="s">
        <v>1775</v>
      </c>
      <c r="K219" s="355">
        <v>44593</v>
      </c>
      <c r="L219" s="26"/>
      <c r="M219" s="306">
        <v>44587</v>
      </c>
      <c r="N219" s="273" t="s">
        <v>52</v>
      </c>
      <c r="O219" s="307">
        <v>200</v>
      </c>
      <c r="P219" s="307"/>
      <c r="Q219" s="307"/>
      <c r="R219" s="307"/>
      <c r="S219" s="307"/>
      <c r="T219" s="16"/>
      <c r="U219" s="190"/>
      <c r="V219" s="8"/>
    </row>
    <row r="220" spans="1:22" ht="48" x14ac:dyDescent="0.25">
      <c r="A220" s="181" t="s">
        <v>1936</v>
      </c>
      <c r="B220" s="247">
        <v>42583</v>
      </c>
      <c r="C220" s="191" t="s">
        <v>870</v>
      </c>
      <c r="D220" s="400" t="s">
        <v>2725</v>
      </c>
      <c r="E220" s="184" t="s">
        <v>480</v>
      </c>
      <c r="F220" s="192" t="s">
        <v>481</v>
      </c>
      <c r="G220" s="184" t="s">
        <v>90</v>
      </c>
      <c r="H220" s="244" t="s">
        <v>1733</v>
      </c>
      <c r="I220" s="185" t="s">
        <v>33</v>
      </c>
      <c r="J220" s="244" t="s">
        <v>678</v>
      </c>
      <c r="K220" s="334">
        <v>44573</v>
      </c>
      <c r="L220" s="193">
        <v>42668</v>
      </c>
      <c r="M220" s="241">
        <v>44573</v>
      </c>
      <c r="N220" s="192" t="s">
        <v>26</v>
      </c>
      <c r="O220" s="194">
        <v>200</v>
      </c>
      <c r="P220" s="194"/>
      <c r="Q220" s="194">
        <v>100</v>
      </c>
      <c r="R220" s="194">
        <v>100</v>
      </c>
      <c r="S220" s="194" t="s">
        <v>482</v>
      </c>
      <c r="T220" s="197">
        <v>42551</v>
      </c>
      <c r="U220" s="196">
        <f>EDATE(T220,2)</f>
        <v>42612</v>
      </c>
      <c r="V220" s="171">
        <v>42557</v>
      </c>
    </row>
    <row r="221" spans="1:22" ht="48" x14ac:dyDescent="0.25">
      <c r="A221" s="181" t="s">
        <v>1937</v>
      </c>
      <c r="B221" s="183"/>
      <c r="C221" s="191" t="s">
        <v>786</v>
      </c>
      <c r="D221" s="400" t="s">
        <v>2771</v>
      </c>
      <c r="E221" s="184" t="s">
        <v>222</v>
      </c>
      <c r="F221" s="184" t="s">
        <v>172</v>
      </c>
      <c r="G221" s="184" t="s">
        <v>1805</v>
      </c>
      <c r="H221" s="192" t="s">
        <v>223</v>
      </c>
      <c r="I221" s="185" t="s">
        <v>33</v>
      </c>
      <c r="J221" s="244" t="s">
        <v>678</v>
      </c>
      <c r="K221" s="334">
        <v>44788</v>
      </c>
      <c r="L221" s="193">
        <v>42697</v>
      </c>
      <c r="M221" s="186">
        <v>44423</v>
      </c>
      <c r="N221" s="192" t="s">
        <v>52</v>
      </c>
      <c r="O221" s="194">
        <v>200</v>
      </c>
      <c r="P221" s="194"/>
      <c r="Q221" s="194">
        <v>50</v>
      </c>
      <c r="R221" s="194"/>
      <c r="S221" s="194" t="s">
        <v>29</v>
      </c>
      <c r="T221" s="197">
        <v>42704</v>
      </c>
      <c r="U221" s="196">
        <f>EDATE(T221,2)</f>
        <v>42765</v>
      </c>
      <c r="V221" s="171">
        <v>42765</v>
      </c>
    </row>
    <row r="222" spans="1:22" ht="36" x14ac:dyDescent="0.25">
      <c r="A222" s="242" t="s">
        <v>1941</v>
      </c>
      <c r="B222" s="21">
        <v>40878</v>
      </c>
      <c r="C222" s="2" t="s">
        <v>823</v>
      </c>
      <c r="D222" s="11" t="s">
        <v>2740</v>
      </c>
      <c r="E222" s="4" t="s">
        <v>362</v>
      </c>
      <c r="F222" s="4" t="s">
        <v>363</v>
      </c>
      <c r="G222" s="4" t="s">
        <v>80</v>
      </c>
      <c r="H222" s="11" t="s">
        <v>110</v>
      </c>
      <c r="I222" s="5" t="s">
        <v>33</v>
      </c>
      <c r="J222" s="20" t="s">
        <v>678</v>
      </c>
      <c r="K222" s="335">
        <v>44895</v>
      </c>
      <c r="L222" s="12">
        <v>42398</v>
      </c>
      <c r="M222" s="6">
        <v>44530</v>
      </c>
      <c r="N222" s="11" t="s">
        <v>52</v>
      </c>
      <c r="O222" s="13">
        <v>200</v>
      </c>
      <c r="P222" s="13"/>
      <c r="Q222" s="13">
        <v>100</v>
      </c>
      <c r="R222" s="13">
        <v>100</v>
      </c>
      <c r="S222" s="13" t="s">
        <v>29</v>
      </c>
      <c r="T222" s="16">
        <v>42400</v>
      </c>
      <c r="U222" s="14">
        <f>EDATE(T222,2)</f>
        <v>42460</v>
      </c>
      <c r="V222" s="172">
        <v>42451</v>
      </c>
    </row>
    <row r="223" spans="1:22" s="32" customFormat="1" ht="108" x14ac:dyDescent="0.2">
      <c r="A223" s="243" t="s">
        <v>1942</v>
      </c>
      <c r="B223" s="309">
        <v>43952</v>
      </c>
      <c r="C223" s="239" t="s">
        <v>988</v>
      </c>
      <c r="D223" s="400" t="s">
        <v>2772</v>
      </c>
      <c r="E223" s="187" t="s">
        <v>714</v>
      </c>
      <c r="F223" s="310" t="s">
        <v>715</v>
      </c>
      <c r="G223" s="310" t="s">
        <v>390</v>
      </c>
      <c r="H223" s="310"/>
      <c r="I223" s="198" t="s">
        <v>33</v>
      </c>
      <c r="J223" s="244" t="s">
        <v>46</v>
      </c>
      <c r="K223" s="352">
        <v>44660</v>
      </c>
      <c r="L223" s="311"/>
      <c r="M223" s="312">
        <v>44660</v>
      </c>
      <c r="N223" s="310" t="s">
        <v>52</v>
      </c>
      <c r="O223" s="313">
        <v>200</v>
      </c>
      <c r="P223" s="313"/>
      <c r="Q223" s="313"/>
      <c r="R223" s="313"/>
      <c r="S223" s="313"/>
      <c r="T223" s="197"/>
      <c r="U223" s="188"/>
      <c r="V223" s="171"/>
    </row>
    <row r="224" spans="1:22" ht="60" x14ac:dyDescent="0.25">
      <c r="A224" s="242" t="s">
        <v>1943</v>
      </c>
      <c r="B224" s="3"/>
      <c r="C224" s="10" t="s">
        <v>750</v>
      </c>
      <c r="D224" s="11" t="s">
        <v>2784</v>
      </c>
      <c r="E224" s="4" t="s">
        <v>91</v>
      </c>
      <c r="F224" s="4" t="s">
        <v>92</v>
      </c>
      <c r="G224" s="4" t="s">
        <v>50</v>
      </c>
      <c r="H224" s="11" t="s">
        <v>51</v>
      </c>
      <c r="I224" s="5" t="s">
        <v>33</v>
      </c>
      <c r="J224" s="20" t="s">
        <v>1668</v>
      </c>
      <c r="K224" s="335">
        <v>44655</v>
      </c>
      <c r="L224" s="12"/>
      <c r="M224" s="19">
        <v>44290</v>
      </c>
      <c r="N224" s="11" t="s">
        <v>26</v>
      </c>
      <c r="O224" s="13">
        <v>200</v>
      </c>
      <c r="P224" s="13"/>
      <c r="Q224" s="13">
        <v>100</v>
      </c>
      <c r="R224" s="13">
        <v>100</v>
      </c>
      <c r="S224" s="13" t="s">
        <v>29</v>
      </c>
      <c r="T224" s="16">
        <v>42674</v>
      </c>
      <c r="U224" s="14">
        <f>EDATE(T224,2)</f>
        <v>42735</v>
      </c>
      <c r="V224" s="172">
        <v>42719</v>
      </c>
    </row>
    <row r="225" spans="1:22" s="32" customFormat="1" ht="72" x14ac:dyDescent="0.2">
      <c r="A225" s="305" t="s">
        <v>1932</v>
      </c>
      <c r="B225" s="304">
        <v>44197</v>
      </c>
      <c r="C225" s="305" t="s">
        <v>1821</v>
      </c>
      <c r="D225" s="11" t="s">
        <v>2784</v>
      </c>
      <c r="E225" s="189" t="s">
        <v>1720</v>
      </c>
      <c r="F225" s="273" t="s">
        <v>1722</v>
      </c>
      <c r="G225" s="273" t="s">
        <v>50</v>
      </c>
      <c r="H225" s="273"/>
      <c r="I225" s="17" t="s">
        <v>1721</v>
      </c>
      <c r="J225" s="349" t="s">
        <v>659</v>
      </c>
      <c r="K225" s="355">
        <v>44568</v>
      </c>
      <c r="L225" s="26"/>
      <c r="M225" s="306">
        <v>44518</v>
      </c>
      <c r="N225" s="273" t="s">
        <v>52</v>
      </c>
      <c r="O225" s="307">
        <v>200</v>
      </c>
      <c r="P225" s="307"/>
      <c r="Q225" s="307">
        <v>100</v>
      </c>
      <c r="R225" s="307" t="s">
        <v>1731</v>
      </c>
      <c r="S225" s="307"/>
      <c r="T225" s="16"/>
      <c r="U225" s="190"/>
      <c r="V225" s="8"/>
    </row>
    <row r="226" spans="1:22" s="32" customFormat="1" ht="60" x14ac:dyDescent="0.2">
      <c r="A226" s="305" t="s">
        <v>1761</v>
      </c>
      <c r="B226" s="304">
        <v>44197</v>
      </c>
      <c r="C226" s="305" t="s">
        <v>1823</v>
      </c>
      <c r="D226" s="11" t="s">
        <v>2784</v>
      </c>
      <c r="E226" s="189" t="s">
        <v>1720</v>
      </c>
      <c r="F226" s="273" t="s">
        <v>1723</v>
      </c>
      <c r="G226" s="273" t="s">
        <v>50</v>
      </c>
      <c r="H226" s="273"/>
      <c r="I226" s="17" t="s">
        <v>1721</v>
      </c>
      <c r="J226" s="349" t="s">
        <v>659</v>
      </c>
      <c r="K226" s="355">
        <v>44568</v>
      </c>
      <c r="L226" s="26"/>
      <c r="M226" s="306">
        <v>44518</v>
      </c>
      <c r="N226" s="273" t="s">
        <v>52</v>
      </c>
      <c r="O226" s="307">
        <v>200</v>
      </c>
      <c r="P226" s="307"/>
      <c r="Q226" s="307">
        <v>100</v>
      </c>
      <c r="R226" s="307" t="s">
        <v>1731</v>
      </c>
      <c r="S226" s="307"/>
      <c r="T226" s="16"/>
      <c r="U226" s="190"/>
      <c r="V226" s="8"/>
    </row>
    <row r="227" spans="1:22" s="32" customFormat="1" ht="48" x14ac:dyDescent="0.2">
      <c r="A227" s="305" t="s">
        <v>1762</v>
      </c>
      <c r="B227" s="304">
        <v>44197</v>
      </c>
      <c r="C227" s="305" t="s">
        <v>1822</v>
      </c>
      <c r="D227" s="11" t="s">
        <v>2784</v>
      </c>
      <c r="E227" s="189" t="s">
        <v>1720</v>
      </c>
      <c r="F227" s="273" t="s">
        <v>1730</v>
      </c>
      <c r="G227" s="273" t="s">
        <v>50</v>
      </c>
      <c r="H227" s="273"/>
      <c r="I227" s="17" t="s">
        <v>1721</v>
      </c>
      <c r="J227" s="349" t="s">
        <v>659</v>
      </c>
      <c r="K227" s="355">
        <v>44568</v>
      </c>
      <c r="L227" s="26"/>
      <c r="M227" s="306">
        <v>44518</v>
      </c>
      <c r="N227" s="273" t="s">
        <v>52</v>
      </c>
      <c r="O227" s="307">
        <v>200</v>
      </c>
      <c r="P227" s="307"/>
      <c r="Q227" s="307" t="s">
        <v>1731</v>
      </c>
      <c r="R227" s="307" t="s">
        <v>1731</v>
      </c>
      <c r="S227" s="307"/>
      <c r="T227" s="16"/>
      <c r="U227" s="190"/>
      <c r="V227" s="8"/>
    </row>
    <row r="228" spans="1:22" s="32" customFormat="1" ht="84" x14ac:dyDescent="0.2">
      <c r="A228" s="239" t="s">
        <v>1934</v>
      </c>
      <c r="B228" s="309">
        <v>43831</v>
      </c>
      <c r="C228" s="239" t="s">
        <v>984</v>
      </c>
      <c r="D228" s="400" t="s">
        <v>2783</v>
      </c>
      <c r="E228" s="187" t="s">
        <v>703</v>
      </c>
      <c r="F228" s="310" t="s">
        <v>704</v>
      </c>
      <c r="G228" s="310" t="s">
        <v>116</v>
      </c>
      <c r="H228" s="310"/>
      <c r="I228" s="198" t="s">
        <v>33</v>
      </c>
      <c r="J228" s="244" t="s">
        <v>678</v>
      </c>
      <c r="K228" s="352">
        <v>44533</v>
      </c>
      <c r="L228" s="311"/>
      <c r="M228" s="312">
        <v>44533</v>
      </c>
      <c r="N228" s="310" t="s">
        <v>52</v>
      </c>
      <c r="O228" s="313">
        <v>200</v>
      </c>
      <c r="P228" s="313"/>
      <c r="Q228" s="313"/>
      <c r="R228" s="313"/>
      <c r="S228" s="313"/>
      <c r="T228" s="197"/>
      <c r="U228" s="188"/>
      <c r="V228" s="171"/>
    </row>
    <row r="229" spans="1:22" s="24" customFormat="1" ht="60" x14ac:dyDescent="0.25">
      <c r="A229" s="2" t="s">
        <v>1944</v>
      </c>
      <c r="B229" s="21">
        <v>43101</v>
      </c>
      <c r="C229" s="2" t="s">
        <v>928</v>
      </c>
      <c r="D229" s="11" t="s">
        <v>2757</v>
      </c>
      <c r="E229" s="4" t="s">
        <v>532</v>
      </c>
      <c r="F229" s="11">
        <v>48</v>
      </c>
      <c r="G229" s="4" t="s">
        <v>80</v>
      </c>
      <c r="H229" s="20" t="s">
        <v>1702</v>
      </c>
      <c r="I229" s="5" t="s">
        <v>228</v>
      </c>
      <c r="J229" s="20" t="s">
        <v>46</v>
      </c>
      <c r="K229" s="335">
        <v>44545</v>
      </c>
      <c r="L229" s="12"/>
      <c r="M229" s="19">
        <v>44545</v>
      </c>
      <c r="N229" s="11" t="s">
        <v>52</v>
      </c>
      <c r="O229" s="13">
        <v>200</v>
      </c>
      <c r="P229" s="13"/>
      <c r="Q229" s="13">
        <v>200</v>
      </c>
      <c r="R229" s="13">
        <v>200</v>
      </c>
      <c r="S229" s="13"/>
      <c r="T229" s="4"/>
      <c r="U229" s="14"/>
      <c r="V229" s="177"/>
    </row>
    <row r="230" spans="1:22" s="24" customFormat="1" ht="60" x14ac:dyDescent="0.25">
      <c r="A230" s="181" t="s">
        <v>1946</v>
      </c>
      <c r="B230" s="247">
        <v>43101</v>
      </c>
      <c r="C230" s="181" t="s">
        <v>929</v>
      </c>
      <c r="D230" s="400" t="s">
        <v>2757</v>
      </c>
      <c r="E230" s="184" t="s">
        <v>532</v>
      </c>
      <c r="F230" s="192">
        <v>41</v>
      </c>
      <c r="G230" s="184" t="s">
        <v>80</v>
      </c>
      <c r="H230" s="244" t="s">
        <v>1702</v>
      </c>
      <c r="I230" s="185" t="s">
        <v>228</v>
      </c>
      <c r="J230" s="244" t="s">
        <v>46</v>
      </c>
      <c r="K230" s="334">
        <v>44545</v>
      </c>
      <c r="L230" s="193"/>
      <c r="M230" s="241">
        <v>44545</v>
      </c>
      <c r="N230" s="192" t="s">
        <v>52</v>
      </c>
      <c r="O230" s="194">
        <v>200</v>
      </c>
      <c r="P230" s="194"/>
      <c r="Q230" s="194">
        <v>200</v>
      </c>
      <c r="R230" s="194">
        <v>200</v>
      </c>
      <c r="S230" s="194"/>
      <c r="T230" s="184"/>
      <c r="U230" s="196"/>
      <c r="V230" s="173"/>
    </row>
    <row r="231" spans="1:22" s="24" customFormat="1" ht="84" x14ac:dyDescent="0.25">
      <c r="A231" s="2" t="s">
        <v>1945</v>
      </c>
      <c r="B231" s="21">
        <v>43101</v>
      </c>
      <c r="C231" s="2" t="s">
        <v>930</v>
      </c>
      <c r="D231" s="11" t="s">
        <v>2757</v>
      </c>
      <c r="E231" s="4" t="s">
        <v>532</v>
      </c>
      <c r="F231" s="11">
        <v>7</v>
      </c>
      <c r="G231" s="4" t="s">
        <v>32</v>
      </c>
      <c r="H231" s="20" t="s">
        <v>1709</v>
      </c>
      <c r="I231" s="5" t="s">
        <v>228</v>
      </c>
      <c r="J231" s="20" t="s">
        <v>46</v>
      </c>
      <c r="K231" s="335">
        <v>44545</v>
      </c>
      <c r="L231" s="12"/>
      <c r="M231" s="19">
        <v>44545</v>
      </c>
      <c r="N231" s="11" t="s">
        <v>52</v>
      </c>
      <c r="O231" s="13">
        <v>200</v>
      </c>
      <c r="P231" s="13"/>
      <c r="Q231" s="13"/>
      <c r="R231" s="13"/>
      <c r="S231" s="13"/>
      <c r="T231" s="4"/>
      <c r="U231" s="14"/>
      <c r="V231" s="177"/>
    </row>
    <row r="232" spans="1:22" s="32" customFormat="1" ht="60" x14ac:dyDescent="0.2">
      <c r="A232" s="305" t="s">
        <v>1959</v>
      </c>
      <c r="B232" s="304">
        <v>43800</v>
      </c>
      <c r="C232" s="305" t="s">
        <v>1807</v>
      </c>
      <c r="D232" s="305"/>
      <c r="E232" s="189" t="s">
        <v>701</v>
      </c>
      <c r="F232" s="273" t="s">
        <v>702</v>
      </c>
      <c r="G232" s="273" t="s">
        <v>189</v>
      </c>
      <c r="H232" s="273"/>
      <c r="I232" s="17" t="s">
        <v>33</v>
      </c>
      <c r="J232" s="20" t="s">
        <v>678</v>
      </c>
      <c r="K232" s="350">
        <v>44519</v>
      </c>
      <c r="L232" s="26"/>
      <c r="M232" s="306">
        <v>44530</v>
      </c>
      <c r="N232" s="273" t="s">
        <v>52</v>
      </c>
      <c r="O232" s="307">
        <v>200</v>
      </c>
      <c r="P232" s="307"/>
      <c r="Q232" s="307"/>
      <c r="R232" s="307"/>
      <c r="S232" s="307"/>
      <c r="T232" s="16"/>
      <c r="U232" s="190"/>
      <c r="V232" s="172"/>
    </row>
    <row r="233" spans="1:22" s="1" customFormat="1" ht="74.25" customHeight="1" x14ac:dyDescent="0.25">
      <c r="A233" s="181" t="s">
        <v>1960</v>
      </c>
      <c r="B233" s="247"/>
      <c r="C233" s="181" t="s">
        <v>936</v>
      </c>
      <c r="D233" s="400" t="s">
        <v>2732</v>
      </c>
      <c r="E233" s="184" t="s">
        <v>595</v>
      </c>
      <c r="F233" s="192" t="s">
        <v>596</v>
      </c>
      <c r="G233" s="184" t="s">
        <v>1846</v>
      </c>
      <c r="H233" s="244"/>
      <c r="I233" s="185" t="s">
        <v>33</v>
      </c>
      <c r="J233" s="244" t="s">
        <v>597</v>
      </c>
      <c r="K233" s="334">
        <v>44825</v>
      </c>
      <c r="L233" s="193"/>
      <c r="M233" s="241">
        <v>44460</v>
      </c>
      <c r="N233" s="192" t="s">
        <v>26</v>
      </c>
      <c r="O233" s="194">
        <v>200</v>
      </c>
      <c r="P233" s="194"/>
      <c r="Q233" s="194"/>
      <c r="R233" s="194"/>
      <c r="S233" s="194"/>
      <c r="T233" s="184"/>
      <c r="U233" s="196"/>
      <c r="V233" s="173"/>
    </row>
    <row r="234" spans="1:22" ht="96" x14ac:dyDescent="0.25">
      <c r="A234" s="2" t="s">
        <v>1952</v>
      </c>
      <c r="B234" s="21">
        <v>42795</v>
      </c>
      <c r="C234" s="2" t="s">
        <v>900</v>
      </c>
      <c r="D234" s="11" t="s">
        <v>2727</v>
      </c>
      <c r="E234" s="4" t="s">
        <v>533</v>
      </c>
      <c r="F234" s="11" t="s">
        <v>534</v>
      </c>
      <c r="G234" s="4" t="s">
        <v>189</v>
      </c>
      <c r="H234" s="20" t="s">
        <v>1931</v>
      </c>
      <c r="I234" s="5" t="s">
        <v>33</v>
      </c>
      <c r="J234" s="20" t="s">
        <v>678</v>
      </c>
      <c r="K234" s="335">
        <v>44835</v>
      </c>
      <c r="L234" s="12"/>
      <c r="M234" s="19">
        <v>44470</v>
      </c>
      <c r="N234" s="11" t="s">
        <v>52</v>
      </c>
      <c r="O234" s="13">
        <v>200</v>
      </c>
      <c r="P234" s="13"/>
      <c r="Q234" s="13">
        <v>300</v>
      </c>
      <c r="R234" s="13"/>
      <c r="S234" s="13"/>
      <c r="T234" s="4"/>
      <c r="U234" s="14"/>
      <c r="V234" s="177"/>
    </row>
    <row r="235" spans="1:22" s="32" customFormat="1" ht="60" x14ac:dyDescent="0.2">
      <c r="A235" s="305" t="s">
        <v>1964</v>
      </c>
      <c r="B235" s="304">
        <v>44136</v>
      </c>
      <c r="C235" s="305" t="s">
        <v>1714</v>
      </c>
      <c r="D235" s="11" t="s">
        <v>2768</v>
      </c>
      <c r="E235" s="189" t="s">
        <v>1712</v>
      </c>
      <c r="F235" s="273" t="s">
        <v>1713</v>
      </c>
      <c r="G235" s="273" t="s">
        <v>38</v>
      </c>
      <c r="H235" s="273"/>
      <c r="I235" s="17" t="s">
        <v>1715</v>
      </c>
      <c r="J235" s="349" t="s">
        <v>40</v>
      </c>
      <c r="K235" s="355">
        <v>44495</v>
      </c>
      <c r="L235" s="26"/>
      <c r="M235" s="306">
        <v>44484</v>
      </c>
      <c r="N235" s="273" t="s">
        <v>47</v>
      </c>
      <c r="O235" s="307">
        <v>200</v>
      </c>
      <c r="P235" s="307"/>
      <c r="Q235" s="307"/>
      <c r="R235" s="307"/>
      <c r="S235" s="307"/>
      <c r="T235" s="16"/>
      <c r="U235" s="190"/>
      <c r="V235" s="8"/>
    </row>
    <row r="236" spans="1:22" s="32" customFormat="1" ht="128.25" customHeight="1" x14ac:dyDescent="0.2">
      <c r="A236" s="305" t="s">
        <v>2035</v>
      </c>
      <c r="B236" s="304">
        <v>44378</v>
      </c>
      <c r="C236" s="305" t="s">
        <v>1830</v>
      </c>
      <c r="D236" s="11" t="s">
        <v>2732</v>
      </c>
      <c r="E236" s="189" t="s">
        <v>1810</v>
      </c>
      <c r="F236" s="273" t="s">
        <v>1829</v>
      </c>
      <c r="G236" s="273" t="s">
        <v>139</v>
      </c>
      <c r="H236" s="273" t="s">
        <v>28</v>
      </c>
      <c r="I236" s="17" t="s">
        <v>1753</v>
      </c>
      <c r="J236" s="349" t="s">
        <v>40</v>
      </c>
      <c r="K236" s="355">
        <v>44720</v>
      </c>
      <c r="L236" s="26"/>
      <c r="M236" s="306">
        <v>44720</v>
      </c>
      <c r="N236" s="273" t="s">
        <v>52</v>
      </c>
      <c r="O236" s="307">
        <v>200</v>
      </c>
      <c r="P236" s="307"/>
      <c r="Q236" s="307"/>
      <c r="R236" s="307"/>
      <c r="S236" s="307"/>
      <c r="T236" s="16"/>
      <c r="U236" s="190"/>
      <c r="V236" s="8"/>
    </row>
    <row r="237" spans="1:22" s="32" customFormat="1" ht="48" x14ac:dyDescent="0.2">
      <c r="A237" s="305" t="s">
        <v>2029</v>
      </c>
      <c r="B237" s="304">
        <v>44409</v>
      </c>
      <c r="C237" s="305" t="s">
        <v>1886</v>
      </c>
      <c r="D237" s="11" t="s">
        <v>2728</v>
      </c>
      <c r="E237" s="189" t="s">
        <v>1818</v>
      </c>
      <c r="F237" s="273" t="s">
        <v>1819</v>
      </c>
      <c r="G237" s="273" t="s">
        <v>50</v>
      </c>
      <c r="H237" s="273"/>
      <c r="I237" s="17" t="s">
        <v>1753</v>
      </c>
      <c r="J237" s="349" t="s">
        <v>1847</v>
      </c>
      <c r="K237" s="355">
        <v>44744</v>
      </c>
      <c r="L237" s="26"/>
      <c r="M237" s="306">
        <v>44727</v>
      </c>
      <c r="N237" s="273" t="s">
        <v>52</v>
      </c>
      <c r="O237" s="307">
        <v>200</v>
      </c>
      <c r="P237" s="307"/>
      <c r="Q237" s="307"/>
      <c r="R237" s="307"/>
      <c r="S237" s="307"/>
      <c r="T237" s="16"/>
      <c r="U237" s="190"/>
      <c r="V237" s="8"/>
    </row>
    <row r="238" spans="1:22" s="1" customFormat="1" ht="81" customHeight="1" x14ac:dyDescent="0.25">
      <c r="A238" s="181" t="s">
        <v>2028</v>
      </c>
      <c r="B238" s="247">
        <v>43191</v>
      </c>
      <c r="C238" s="181" t="s">
        <v>935</v>
      </c>
      <c r="D238" s="400" t="s">
        <v>2731</v>
      </c>
      <c r="E238" s="184" t="s">
        <v>591</v>
      </c>
      <c r="F238" s="192" t="s">
        <v>592</v>
      </c>
      <c r="G238" s="184" t="s">
        <v>1805</v>
      </c>
      <c r="H238" s="244" t="s">
        <v>1871</v>
      </c>
      <c r="I238" s="185" t="s">
        <v>33</v>
      </c>
      <c r="J238" s="244" t="s">
        <v>40</v>
      </c>
      <c r="K238" s="334">
        <v>44743</v>
      </c>
      <c r="L238" s="193"/>
      <c r="M238" s="241">
        <v>44378</v>
      </c>
      <c r="N238" s="192" t="s">
        <v>26</v>
      </c>
      <c r="O238" s="194">
        <v>200</v>
      </c>
      <c r="P238" s="194"/>
      <c r="Q238" s="194"/>
      <c r="R238" s="194"/>
      <c r="S238" s="194"/>
      <c r="T238" s="184"/>
      <c r="U238" s="196"/>
      <c r="V238" s="173"/>
    </row>
    <row r="239" spans="1:22" s="32" customFormat="1" ht="72" x14ac:dyDescent="0.2">
      <c r="A239" s="239" t="s">
        <v>2027</v>
      </c>
      <c r="B239" s="309">
        <v>43709</v>
      </c>
      <c r="C239" s="239" t="s">
        <v>979</v>
      </c>
      <c r="D239" s="400" t="s">
        <v>2727</v>
      </c>
      <c r="E239" s="187" t="s">
        <v>693</v>
      </c>
      <c r="F239" s="310" t="s">
        <v>694</v>
      </c>
      <c r="G239" s="310" t="s">
        <v>44</v>
      </c>
      <c r="H239" s="310" t="s">
        <v>28</v>
      </c>
      <c r="I239" s="185" t="s">
        <v>39</v>
      </c>
      <c r="J239" s="244" t="s">
        <v>678</v>
      </c>
      <c r="K239" s="352">
        <v>44800</v>
      </c>
      <c r="L239" s="311"/>
      <c r="M239" s="312"/>
      <c r="N239" s="310"/>
      <c r="O239" s="313">
        <v>200</v>
      </c>
      <c r="P239" s="194" t="s">
        <v>41</v>
      </c>
      <c r="Q239" s="313"/>
      <c r="R239" s="313"/>
      <c r="S239" s="313"/>
      <c r="T239" s="197"/>
      <c r="U239" s="188"/>
      <c r="V239" s="171"/>
    </row>
    <row r="240" spans="1:22" s="32" customFormat="1" ht="48" x14ac:dyDescent="0.2">
      <c r="A240" s="305" t="s">
        <v>2031</v>
      </c>
      <c r="B240" s="304">
        <v>44378</v>
      </c>
      <c r="C240" s="305" t="s">
        <v>1813</v>
      </c>
      <c r="D240" s="305"/>
      <c r="E240" s="189" t="s">
        <v>1811</v>
      </c>
      <c r="F240" s="273" t="s">
        <v>1812</v>
      </c>
      <c r="G240" s="273" t="s">
        <v>2015</v>
      </c>
      <c r="H240" s="273" t="s">
        <v>2000</v>
      </c>
      <c r="I240" s="17" t="s">
        <v>1721</v>
      </c>
      <c r="J240" s="349" t="s">
        <v>46</v>
      </c>
      <c r="K240" s="355">
        <v>45064</v>
      </c>
      <c r="L240" s="26"/>
      <c r="M240" s="306"/>
      <c r="N240" s="273"/>
      <c r="O240" s="307">
        <v>200</v>
      </c>
      <c r="P240" s="307"/>
      <c r="Q240" s="307"/>
      <c r="R240" s="307"/>
      <c r="S240" s="307"/>
      <c r="T240" s="16"/>
      <c r="U240" s="190"/>
      <c r="V240" s="8"/>
    </row>
    <row r="241" spans="1:22" s="32" customFormat="1" ht="48" x14ac:dyDescent="0.2">
      <c r="A241" s="305" t="s">
        <v>2030</v>
      </c>
      <c r="B241" s="304">
        <v>44378</v>
      </c>
      <c r="C241" s="305" t="s">
        <v>1814</v>
      </c>
      <c r="D241" s="305"/>
      <c r="E241" s="189" t="s">
        <v>1811</v>
      </c>
      <c r="F241" s="273" t="s">
        <v>1815</v>
      </c>
      <c r="G241" s="273" t="s">
        <v>2015</v>
      </c>
      <c r="H241" s="273"/>
      <c r="I241" s="17" t="s">
        <v>1721</v>
      </c>
      <c r="J241" s="349" t="s">
        <v>46</v>
      </c>
      <c r="K241" s="355">
        <v>45064</v>
      </c>
      <c r="L241" s="26"/>
      <c r="M241" s="306"/>
      <c r="N241" s="273"/>
      <c r="O241" s="307">
        <v>200</v>
      </c>
      <c r="P241" s="307"/>
      <c r="Q241" s="307"/>
      <c r="R241" s="307"/>
      <c r="S241" s="307"/>
      <c r="T241" s="16"/>
      <c r="U241" s="190"/>
      <c r="V241" s="8"/>
    </row>
    <row r="242" spans="1:22" s="32" customFormat="1" ht="48" x14ac:dyDescent="0.2">
      <c r="A242" s="305" t="s">
        <v>2036</v>
      </c>
      <c r="B242" s="304">
        <v>44317</v>
      </c>
      <c r="C242" s="305" t="s">
        <v>1781</v>
      </c>
      <c r="D242" s="305"/>
      <c r="E242" s="189" t="s">
        <v>1782</v>
      </c>
      <c r="F242" s="273" t="s">
        <v>1783</v>
      </c>
      <c r="G242" s="273" t="s">
        <v>1939</v>
      </c>
      <c r="H242" s="273" t="s">
        <v>1975</v>
      </c>
      <c r="I242" s="17" t="s">
        <v>1753</v>
      </c>
      <c r="J242" s="349" t="s">
        <v>1711</v>
      </c>
      <c r="K242" s="355">
        <v>45047</v>
      </c>
      <c r="L242" s="26"/>
      <c r="M242" s="306">
        <v>44667</v>
      </c>
      <c r="N242" s="273" t="s">
        <v>52</v>
      </c>
      <c r="O242" s="307">
        <v>200</v>
      </c>
      <c r="P242" s="307"/>
      <c r="Q242" s="307">
        <v>200</v>
      </c>
      <c r="R242" s="307"/>
      <c r="S242" s="307"/>
      <c r="T242" s="16"/>
      <c r="U242" s="190"/>
      <c r="V242" s="8"/>
    </row>
    <row r="243" spans="1:22" s="32" customFormat="1" ht="48" x14ac:dyDescent="0.2">
      <c r="A243" s="305" t="s">
        <v>2067</v>
      </c>
      <c r="B243" s="304">
        <v>44378</v>
      </c>
      <c r="C243" s="305" t="s">
        <v>1892</v>
      </c>
      <c r="D243" s="11" t="s">
        <v>2766</v>
      </c>
      <c r="E243" s="189" t="s">
        <v>1811</v>
      </c>
      <c r="F243" s="273" t="s">
        <v>1948</v>
      </c>
      <c r="G243" s="273" t="s">
        <v>1947</v>
      </c>
      <c r="H243" s="273"/>
      <c r="I243" s="17" t="s">
        <v>1721</v>
      </c>
      <c r="J243" s="349" t="s">
        <v>46</v>
      </c>
      <c r="K243" s="355">
        <v>45064</v>
      </c>
      <c r="L243" s="26"/>
      <c r="M243" s="306"/>
      <c r="N243" s="273"/>
      <c r="O243" s="307">
        <v>200</v>
      </c>
      <c r="P243" s="307"/>
      <c r="Q243" s="307"/>
      <c r="R243" s="307"/>
      <c r="S243" s="307"/>
      <c r="T243" s="16"/>
      <c r="U243" s="190"/>
      <c r="V243" s="8"/>
    </row>
    <row r="244" spans="1:22" ht="108" x14ac:dyDescent="0.25">
      <c r="A244" s="242" t="s">
        <v>2032</v>
      </c>
      <c r="B244" s="207"/>
      <c r="C244" s="208" t="s">
        <v>742</v>
      </c>
      <c r="D244" s="210" t="s">
        <v>2727</v>
      </c>
      <c r="E244" s="209" t="s">
        <v>69</v>
      </c>
      <c r="F244" s="210" t="s">
        <v>70</v>
      </c>
      <c r="G244" s="209" t="s">
        <v>139</v>
      </c>
      <c r="H244" s="210" t="s">
        <v>1864</v>
      </c>
      <c r="I244" s="211" t="s">
        <v>71</v>
      </c>
      <c r="J244" s="281" t="s">
        <v>678</v>
      </c>
      <c r="K244" s="338">
        <v>44923</v>
      </c>
      <c r="L244" s="212">
        <v>42149</v>
      </c>
      <c r="M244" s="213">
        <v>44558</v>
      </c>
      <c r="N244" s="210" t="s">
        <v>52</v>
      </c>
      <c r="O244" s="214">
        <v>200</v>
      </c>
      <c r="P244" s="214"/>
      <c r="Q244" s="215"/>
      <c r="R244" s="215"/>
      <c r="S244" s="215" t="s">
        <v>35</v>
      </c>
      <c r="T244" s="216">
        <v>42490</v>
      </c>
      <c r="U244" s="14">
        <f>EDATE(T244,2)</f>
        <v>42551</v>
      </c>
      <c r="V244" s="174">
        <v>42543</v>
      </c>
    </row>
    <row r="245" spans="1:22" ht="96" x14ac:dyDescent="0.25">
      <c r="A245" s="243" t="s">
        <v>2033</v>
      </c>
      <c r="B245" s="217"/>
      <c r="C245" s="218" t="s">
        <v>743</v>
      </c>
      <c r="D245" s="402" t="s">
        <v>2727</v>
      </c>
      <c r="E245" s="219" t="s">
        <v>69</v>
      </c>
      <c r="F245" s="219" t="s">
        <v>72</v>
      </c>
      <c r="G245" s="219" t="s">
        <v>139</v>
      </c>
      <c r="H245" s="205" t="s">
        <v>1865</v>
      </c>
      <c r="I245" s="220" t="s">
        <v>24</v>
      </c>
      <c r="J245" s="282" t="s">
        <v>678</v>
      </c>
      <c r="K245" s="339">
        <v>44923</v>
      </c>
      <c r="L245" s="221"/>
      <c r="M245" s="222">
        <v>44558</v>
      </c>
      <c r="N245" s="205" t="s">
        <v>52</v>
      </c>
      <c r="O245" s="223">
        <v>200</v>
      </c>
      <c r="P245" s="223"/>
      <c r="Q245" s="224">
        <v>100</v>
      </c>
      <c r="R245" s="224">
        <v>100</v>
      </c>
      <c r="S245" s="224" t="s">
        <v>35</v>
      </c>
      <c r="T245" s="225">
        <v>42490</v>
      </c>
      <c r="U245" s="196">
        <f>EDATE(T245,2)</f>
        <v>42551</v>
      </c>
      <c r="V245" s="175">
        <v>42543</v>
      </c>
    </row>
    <row r="246" spans="1:22" s="9" customFormat="1" ht="84" x14ac:dyDescent="0.25">
      <c r="A246" s="243" t="s">
        <v>2034</v>
      </c>
      <c r="B246" s="217"/>
      <c r="C246" s="218" t="s">
        <v>745</v>
      </c>
      <c r="D246" s="402" t="s">
        <v>2727</v>
      </c>
      <c r="E246" s="219" t="s">
        <v>76</v>
      </c>
      <c r="F246" s="219" t="s">
        <v>77</v>
      </c>
      <c r="G246" s="219" t="s">
        <v>139</v>
      </c>
      <c r="H246" s="205"/>
      <c r="I246" s="220" t="s">
        <v>64</v>
      </c>
      <c r="J246" s="282" t="s">
        <v>678</v>
      </c>
      <c r="K246" s="339">
        <v>44923</v>
      </c>
      <c r="L246" s="221"/>
      <c r="M246" s="222">
        <v>44558</v>
      </c>
      <c r="N246" s="205" t="s">
        <v>52</v>
      </c>
      <c r="O246" s="224">
        <v>200</v>
      </c>
      <c r="P246" s="224"/>
      <c r="Q246" s="224"/>
      <c r="R246" s="224"/>
      <c r="S246" s="224"/>
      <c r="T246" s="197">
        <v>42490</v>
      </c>
      <c r="U246" s="196">
        <f>EDATE(T246,2)</f>
        <v>42551</v>
      </c>
      <c r="V246" s="171"/>
    </row>
    <row r="247" spans="1:22" ht="48.75" customHeight="1" x14ac:dyDescent="0.25">
      <c r="A247" s="2" t="s">
        <v>2044</v>
      </c>
      <c r="B247" s="21">
        <v>43166</v>
      </c>
      <c r="C247" s="2" t="s">
        <v>895</v>
      </c>
      <c r="D247" s="11" t="s">
        <v>2757</v>
      </c>
      <c r="E247" s="4"/>
      <c r="F247" s="11">
        <v>5</v>
      </c>
      <c r="G247" s="4" t="s">
        <v>1939</v>
      </c>
      <c r="H247" s="11"/>
      <c r="I247" s="5"/>
      <c r="J247" s="20"/>
      <c r="K247" s="335"/>
      <c r="L247" s="12"/>
      <c r="M247" s="6"/>
      <c r="N247" s="11"/>
      <c r="O247" s="13"/>
      <c r="P247" s="13"/>
      <c r="Q247" s="13"/>
      <c r="R247" s="13"/>
      <c r="S247" s="13"/>
      <c r="T247" s="4"/>
      <c r="U247" s="14"/>
      <c r="V247" s="177"/>
    </row>
    <row r="248" spans="1:22" s="32" customFormat="1" ht="96" x14ac:dyDescent="0.2">
      <c r="A248" s="305" t="s">
        <v>2066</v>
      </c>
      <c r="B248" s="304">
        <v>44409</v>
      </c>
      <c r="C248" s="305" t="s">
        <v>1797</v>
      </c>
      <c r="D248" s="11" t="s">
        <v>2780</v>
      </c>
      <c r="E248" s="189" t="s">
        <v>1795</v>
      </c>
      <c r="F248" s="273" t="s">
        <v>1796</v>
      </c>
      <c r="G248" s="273" t="s">
        <v>38</v>
      </c>
      <c r="H248" s="273" t="s">
        <v>2018</v>
      </c>
      <c r="I248" s="17" t="s">
        <v>1753</v>
      </c>
      <c r="J248" s="349" t="s">
        <v>678</v>
      </c>
      <c r="K248" s="355">
        <v>45101</v>
      </c>
      <c r="L248" s="26"/>
      <c r="M248" s="306">
        <v>44736</v>
      </c>
      <c r="N248" s="273" t="s">
        <v>52</v>
      </c>
      <c r="O248" s="307">
        <v>200</v>
      </c>
      <c r="P248" s="307"/>
      <c r="Q248" s="307">
        <v>150</v>
      </c>
      <c r="R248" s="307">
        <v>150</v>
      </c>
      <c r="S248" s="307"/>
      <c r="T248" s="16"/>
      <c r="U248" s="190"/>
      <c r="V248" s="8"/>
    </row>
    <row r="249" spans="1:22" s="1" customFormat="1" ht="72" x14ac:dyDescent="0.25">
      <c r="A249" s="181" t="s">
        <v>2075</v>
      </c>
      <c r="B249" s="247">
        <v>43405</v>
      </c>
      <c r="C249" s="181" t="s">
        <v>1724</v>
      </c>
      <c r="D249" s="400"/>
      <c r="E249" s="184" t="s">
        <v>637</v>
      </c>
      <c r="F249" s="192" t="s">
        <v>638</v>
      </c>
      <c r="G249" s="184" t="s">
        <v>1910</v>
      </c>
      <c r="H249" s="244" t="s">
        <v>639</v>
      </c>
      <c r="I249" s="244" t="s">
        <v>56</v>
      </c>
      <c r="J249" s="244" t="s">
        <v>40</v>
      </c>
      <c r="K249" s="334">
        <v>45072</v>
      </c>
      <c r="L249" s="193"/>
      <c r="M249" s="241">
        <v>44707</v>
      </c>
      <c r="N249" s="192" t="s">
        <v>26</v>
      </c>
      <c r="O249" s="194">
        <v>200</v>
      </c>
      <c r="P249" s="194"/>
      <c r="Q249" s="194"/>
      <c r="R249" s="194"/>
      <c r="S249" s="194"/>
      <c r="T249" s="184"/>
      <c r="U249" s="196"/>
      <c r="V249" s="173"/>
    </row>
    <row r="250" spans="1:22" s="32" customFormat="1" ht="48" x14ac:dyDescent="0.2">
      <c r="A250" s="305" t="s">
        <v>2076</v>
      </c>
      <c r="B250" s="304">
        <v>43678</v>
      </c>
      <c r="C250" s="305" t="s">
        <v>970</v>
      </c>
      <c r="D250" s="11" t="s">
        <v>2773</v>
      </c>
      <c r="E250" s="189" t="s">
        <v>675</v>
      </c>
      <c r="F250" s="273" t="s">
        <v>971</v>
      </c>
      <c r="G250" s="273" t="s">
        <v>50</v>
      </c>
      <c r="H250" s="273"/>
      <c r="I250" s="17" t="s">
        <v>33</v>
      </c>
      <c r="J250" s="349" t="s">
        <v>429</v>
      </c>
      <c r="K250" s="350">
        <v>45115</v>
      </c>
      <c r="L250" s="26"/>
      <c r="M250" s="306">
        <v>44385</v>
      </c>
      <c r="N250" s="11" t="s">
        <v>26</v>
      </c>
      <c r="O250" s="307">
        <v>200</v>
      </c>
      <c r="P250" s="307"/>
      <c r="Q250" s="307"/>
      <c r="R250" s="307"/>
      <c r="S250" s="307"/>
      <c r="T250" s="16"/>
      <c r="U250" s="190"/>
      <c r="V250" s="172"/>
    </row>
    <row r="251" spans="1:22" s="32" customFormat="1" ht="48" x14ac:dyDescent="0.2">
      <c r="A251" s="305" t="s">
        <v>2088</v>
      </c>
      <c r="B251" s="304">
        <v>44562</v>
      </c>
      <c r="C251" s="305" t="s">
        <v>1920</v>
      </c>
      <c r="D251" s="11" t="s">
        <v>2774</v>
      </c>
      <c r="E251" s="189" t="s">
        <v>1919</v>
      </c>
      <c r="F251" s="273" t="s">
        <v>1921</v>
      </c>
      <c r="G251" s="273" t="s">
        <v>1939</v>
      </c>
      <c r="H251" s="273" t="s">
        <v>1976</v>
      </c>
      <c r="I251" s="17" t="s">
        <v>33</v>
      </c>
      <c r="J251" s="349" t="s">
        <v>678</v>
      </c>
      <c r="K251" s="355">
        <v>44904</v>
      </c>
      <c r="L251" s="26"/>
      <c r="M251" s="306">
        <v>44904</v>
      </c>
      <c r="N251" s="273" t="s">
        <v>52</v>
      </c>
      <c r="O251" s="307">
        <v>200</v>
      </c>
      <c r="P251" s="307"/>
      <c r="Q251" s="307"/>
      <c r="R251" s="307"/>
      <c r="S251" s="307"/>
      <c r="T251" s="16"/>
      <c r="U251" s="190"/>
      <c r="V251" s="8"/>
    </row>
    <row r="252" spans="1:22" s="32" customFormat="1" ht="72" x14ac:dyDescent="0.2">
      <c r="A252" s="305" t="s">
        <v>2089</v>
      </c>
      <c r="B252" s="304">
        <v>44317</v>
      </c>
      <c r="C252" s="305" t="s">
        <v>1767</v>
      </c>
      <c r="D252" s="11" t="s">
        <v>2732</v>
      </c>
      <c r="E252" s="189" t="s">
        <v>1800</v>
      </c>
      <c r="F252" s="273" t="s">
        <v>288</v>
      </c>
      <c r="G252" s="273" t="s">
        <v>1846</v>
      </c>
      <c r="H252" s="273"/>
      <c r="I252" s="17" t="s">
        <v>1753</v>
      </c>
      <c r="J252" s="349" t="s">
        <v>1828</v>
      </c>
      <c r="K252" s="355">
        <v>45060</v>
      </c>
      <c r="L252" s="26"/>
      <c r="M252" s="306">
        <v>44917</v>
      </c>
      <c r="N252" s="273" t="s">
        <v>26</v>
      </c>
      <c r="O252" s="307">
        <v>200</v>
      </c>
      <c r="P252" s="307"/>
      <c r="Q252" s="307"/>
      <c r="R252" s="307"/>
      <c r="S252" s="307"/>
      <c r="T252" s="16"/>
      <c r="U252" s="190"/>
      <c r="V252" s="8"/>
    </row>
    <row r="253" spans="1:22" ht="132" x14ac:dyDescent="0.25">
      <c r="A253" s="181" t="s">
        <v>2093</v>
      </c>
      <c r="B253" s="247">
        <v>42887</v>
      </c>
      <c r="C253" s="181" t="s">
        <v>904</v>
      </c>
      <c r="D253" s="400" t="s">
        <v>2726</v>
      </c>
      <c r="E253" s="184" t="s">
        <v>540</v>
      </c>
      <c r="F253" s="192" t="s">
        <v>541</v>
      </c>
      <c r="G253" s="184" t="s">
        <v>490</v>
      </c>
      <c r="H253" s="244" t="s">
        <v>2002</v>
      </c>
      <c r="I253" s="185" t="s">
        <v>60</v>
      </c>
      <c r="J253" s="244" t="s">
        <v>678</v>
      </c>
      <c r="K253" s="334">
        <v>45055</v>
      </c>
      <c r="L253" s="193"/>
      <c r="M253" s="241">
        <v>44690</v>
      </c>
      <c r="N253" s="192" t="s">
        <v>26</v>
      </c>
      <c r="O253" s="194">
        <v>200</v>
      </c>
      <c r="P253" s="194"/>
      <c r="Q253" s="194"/>
      <c r="R253" s="194"/>
      <c r="S253" s="194"/>
      <c r="T253" s="184"/>
      <c r="U253" s="196"/>
      <c r="V253" s="173"/>
    </row>
    <row r="254" spans="1:22" ht="36" x14ac:dyDescent="0.25">
      <c r="A254" s="2" t="s">
        <v>2094</v>
      </c>
      <c r="B254" s="21" t="s">
        <v>575</v>
      </c>
      <c r="C254" s="2" t="s">
        <v>922</v>
      </c>
      <c r="D254" s="11" t="s">
        <v>2726</v>
      </c>
      <c r="E254" s="4" t="s">
        <v>540</v>
      </c>
      <c r="F254" s="11"/>
      <c r="G254" s="4" t="s">
        <v>490</v>
      </c>
      <c r="H254" s="20" t="s">
        <v>1979</v>
      </c>
      <c r="I254" s="5" t="s">
        <v>60</v>
      </c>
      <c r="J254" s="20" t="s">
        <v>678</v>
      </c>
      <c r="K254" s="335">
        <v>45055</v>
      </c>
      <c r="L254" s="12"/>
      <c r="M254" s="19"/>
      <c r="N254" s="11"/>
      <c r="O254" s="13">
        <v>200</v>
      </c>
      <c r="P254" s="13"/>
      <c r="Q254" s="13"/>
      <c r="R254" s="13"/>
      <c r="S254" s="13"/>
      <c r="T254" s="4"/>
      <c r="U254" s="14"/>
      <c r="V254" s="177"/>
    </row>
    <row r="255" spans="1:22" s="32" customFormat="1" ht="60" customHeight="1" x14ac:dyDescent="0.2">
      <c r="A255" s="239" t="s">
        <v>2098</v>
      </c>
      <c r="B255" s="309">
        <v>44044</v>
      </c>
      <c r="C255" s="239" t="s">
        <v>994</v>
      </c>
      <c r="D255" s="400"/>
      <c r="E255" s="187" t="s">
        <v>732</v>
      </c>
      <c r="F255" s="310" t="s">
        <v>733</v>
      </c>
      <c r="G255" s="310" t="s">
        <v>390</v>
      </c>
      <c r="H255" s="310" t="s">
        <v>1997</v>
      </c>
      <c r="I255" s="198" t="s">
        <v>228</v>
      </c>
      <c r="J255" s="351" t="s">
        <v>40</v>
      </c>
      <c r="K255" s="352">
        <v>45106</v>
      </c>
      <c r="L255" s="311"/>
      <c r="M255" s="312">
        <v>44741</v>
      </c>
      <c r="N255" s="310" t="s">
        <v>26</v>
      </c>
      <c r="O255" s="313">
        <v>200</v>
      </c>
      <c r="P255" s="313"/>
      <c r="Q255" s="313"/>
      <c r="R255" s="313"/>
      <c r="S255" s="313"/>
      <c r="T255" s="197"/>
      <c r="U255" s="188"/>
      <c r="V255" s="171"/>
    </row>
    <row r="256" spans="1:22" s="32" customFormat="1" ht="60" customHeight="1" x14ac:dyDescent="0.2">
      <c r="A256" s="305" t="s">
        <v>2099</v>
      </c>
      <c r="B256" s="304">
        <v>44044</v>
      </c>
      <c r="C256" s="305" t="s">
        <v>995</v>
      </c>
      <c r="D256" s="11"/>
      <c r="E256" s="189" t="s">
        <v>732</v>
      </c>
      <c r="F256" s="273" t="s">
        <v>1669</v>
      </c>
      <c r="G256" s="273" t="s">
        <v>390</v>
      </c>
      <c r="H256" s="273" t="s">
        <v>1997</v>
      </c>
      <c r="I256" s="17" t="s">
        <v>228</v>
      </c>
      <c r="J256" s="349" t="s">
        <v>40</v>
      </c>
      <c r="K256" s="355">
        <v>45106</v>
      </c>
      <c r="L256" s="26"/>
      <c r="M256" s="306">
        <v>44741</v>
      </c>
      <c r="N256" s="273" t="s">
        <v>26</v>
      </c>
      <c r="O256" s="307">
        <v>200</v>
      </c>
      <c r="P256" s="307"/>
      <c r="Q256" s="307"/>
      <c r="R256" s="307"/>
      <c r="S256" s="307"/>
      <c r="T256" s="16"/>
      <c r="U256" s="190"/>
      <c r="V256" s="8"/>
    </row>
    <row r="257" spans="1:22" ht="126.75" customHeight="1" x14ac:dyDescent="0.25">
      <c r="A257" s="240" t="s">
        <v>2097</v>
      </c>
      <c r="B257" s="245" t="s">
        <v>267</v>
      </c>
      <c r="C257" s="240" t="s">
        <v>799</v>
      </c>
      <c r="D257" s="11"/>
      <c r="E257" s="232" t="s">
        <v>268</v>
      </c>
      <c r="F257" s="232" t="s">
        <v>126</v>
      </c>
      <c r="G257" s="234" t="s">
        <v>84</v>
      </c>
      <c r="H257" s="234" t="s">
        <v>1986</v>
      </c>
      <c r="I257" s="5" t="s">
        <v>33</v>
      </c>
      <c r="J257" s="233" t="s">
        <v>678</v>
      </c>
      <c r="K257" s="342">
        <v>44959</v>
      </c>
      <c r="L257" s="235">
        <v>42155</v>
      </c>
      <c r="M257" s="236">
        <v>44594</v>
      </c>
      <c r="N257" s="234" t="s">
        <v>26</v>
      </c>
      <c r="O257" s="237">
        <v>200</v>
      </c>
      <c r="P257" s="237"/>
      <c r="Q257" s="237">
        <v>1000</v>
      </c>
      <c r="R257" s="237">
        <v>0</v>
      </c>
      <c r="S257" s="237" t="s">
        <v>29</v>
      </c>
      <c r="T257" s="16">
        <v>42460</v>
      </c>
      <c r="U257" s="14">
        <f>EDATE(T257,2)</f>
        <v>42521</v>
      </c>
      <c r="V257" s="172">
        <v>42507</v>
      </c>
    </row>
    <row r="258" spans="1:22" s="1" customFormat="1" ht="96" x14ac:dyDescent="0.25">
      <c r="A258" s="2" t="s">
        <v>2096</v>
      </c>
      <c r="B258" s="21">
        <v>43435</v>
      </c>
      <c r="C258" s="2" t="s">
        <v>955</v>
      </c>
      <c r="D258" s="11"/>
      <c r="E258" s="4" t="s">
        <v>640</v>
      </c>
      <c r="F258" s="11" t="s">
        <v>641</v>
      </c>
      <c r="G258" s="4" t="s">
        <v>32</v>
      </c>
      <c r="H258" s="20" t="s">
        <v>2003</v>
      </c>
      <c r="I258" s="20" t="s">
        <v>33</v>
      </c>
      <c r="J258" s="20" t="s">
        <v>678</v>
      </c>
      <c r="K258" s="335">
        <v>45232</v>
      </c>
      <c r="L258" s="12"/>
      <c r="M258" s="19">
        <v>44867</v>
      </c>
      <c r="N258" s="11" t="s">
        <v>52</v>
      </c>
      <c r="O258" s="13">
        <v>200</v>
      </c>
      <c r="P258" s="13"/>
      <c r="Q258" s="13" t="s">
        <v>642</v>
      </c>
      <c r="R258" s="13" t="s">
        <v>643</v>
      </c>
      <c r="S258" s="13"/>
      <c r="T258" s="4"/>
      <c r="U258" s="14"/>
      <c r="V258" s="177"/>
    </row>
    <row r="259" spans="1:22" s="32" customFormat="1" ht="96" x14ac:dyDescent="0.2">
      <c r="A259" s="305" t="s">
        <v>2105</v>
      </c>
      <c r="B259" s="304"/>
      <c r="C259" s="305" t="s">
        <v>1958</v>
      </c>
      <c r="D259" s="11"/>
      <c r="E259" s="273" t="s">
        <v>520</v>
      </c>
      <c r="F259" s="273" t="s">
        <v>1914</v>
      </c>
      <c r="G259" s="273" t="s">
        <v>1915</v>
      </c>
      <c r="H259" s="273"/>
      <c r="I259" s="17"/>
      <c r="J259" s="349"/>
      <c r="K259" s="355"/>
      <c r="L259" s="26"/>
      <c r="M259" s="306"/>
      <c r="N259" s="273"/>
      <c r="O259" s="307"/>
      <c r="P259" s="307"/>
      <c r="Q259" s="307"/>
      <c r="R259" s="307"/>
      <c r="S259" s="307"/>
      <c r="T259" s="16"/>
      <c r="U259" s="190"/>
      <c r="V259" s="172"/>
    </row>
    <row r="260" spans="1:22" ht="141.75" customHeight="1" x14ac:dyDescent="0.25">
      <c r="A260" s="243" t="s">
        <v>2103</v>
      </c>
      <c r="B260" s="255">
        <v>42705</v>
      </c>
      <c r="C260" s="243" t="s">
        <v>1701</v>
      </c>
      <c r="D260" s="402" t="s">
        <v>2725</v>
      </c>
      <c r="E260" s="219" t="s">
        <v>489</v>
      </c>
      <c r="F260" s="205">
        <v>259</v>
      </c>
      <c r="G260" s="219" t="s">
        <v>490</v>
      </c>
      <c r="H260" s="359" t="s">
        <v>2001</v>
      </c>
      <c r="I260" s="220" t="s">
        <v>60</v>
      </c>
      <c r="J260" s="282" t="s">
        <v>678</v>
      </c>
      <c r="K260" s="339">
        <v>45231</v>
      </c>
      <c r="L260" s="221"/>
      <c r="M260" s="222">
        <v>44866</v>
      </c>
      <c r="N260" s="205" t="s">
        <v>47</v>
      </c>
      <c r="O260" s="223">
        <v>200</v>
      </c>
      <c r="P260" s="223"/>
      <c r="Q260" s="223" t="s">
        <v>491</v>
      </c>
      <c r="R260" s="223" t="s">
        <v>492</v>
      </c>
      <c r="S260" s="223" t="s">
        <v>416</v>
      </c>
      <c r="T260" s="225">
        <v>42400</v>
      </c>
      <c r="U260" s="196">
        <f>EDATE(T260,2)</f>
        <v>42460</v>
      </c>
      <c r="V260" s="175">
        <v>42746</v>
      </c>
    </row>
    <row r="261" spans="1:22" s="32" customFormat="1" ht="60" x14ac:dyDescent="0.2">
      <c r="A261" s="305" t="s">
        <v>2120</v>
      </c>
      <c r="B261" s="304">
        <v>44378</v>
      </c>
      <c r="C261" s="305" t="s">
        <v>1778</v>
      </c>
      <c r="D261" s="11" t="s">
        <v>2749</v>
      </c>
      <c r="E261" s="189" t="s">
        <v>1779</v>
      </c>
      <c r="F261" s="273" t="s">
        <v>346</v>
      </c>
      <c r="G261" s="273" t="s">
        <v>44</v>
      </c>
      <c r="H261" s="273" t="s">
        <v>28</v>
      </c>
      <c r="I261" s="17" t="s">
        <v>498</v>
      </c>
      <c r="J261" s="349" t="s">
        <v>678</v>
      </c>
      <c r="K261" s="355">
        <v>45074</v>
      </c>
      <c r="L261" s="26"/>
      <c r="M261" s="306">
        <v>44709</v>
      </c>
      <c r="N261" s="273" t="s">
        <v>52</v>
      </c>
      <c r="O261" s="307">
        <v>200</v>
      </c>
      <c r="P261" s="307"/>
      <c r="Q261" s="307"/>
      <c r="R261" s="307"/>
      <c r="S261" s="307"/>
      <c r="T261" s="16"/>
      <c r="U261" s="190"/>
      <c r="V261" s="8"/>
    </row>
    <row r="262" spans="1:22" s="32" customFormat="1" ht="60" x14ac:dyDescent="0.2">
      <c r="A262" s="305" t="s">
        <v>2119</v>
      </c>
      <c r="B262" s="304">
        <v>44256</v>
      </c>
      <c r="C262" s="305" t="s">
        <v>1771</v>
      </c>
      <c r="D262" s="11" t="s">
        <v>2732</v>
      </c>
      <c r="E262" s="189" t="s">
        <v>1751</v>
      </c>
      <c r="F262" s="273" t="s">
        <v>1752</v>
      </c>
      <c r="G262" s="273" t="s">
        <v>50</v>
      </c>
      <c r="H262" s="273"/>
      <c r="I262" s="17" t="s">
        <v>1753</v>
      </c>
      <c r="J262" s="349" t="s">
        <v>1775</v>
      </c>
      <c r="K262" s="355">
        <v>44986</v>
      </c>
      <c r="L262" s="26"/>
      <c r="M262" s="306">
        <v>44961</v>
      </c>
      <c r="N262" s="273" t="s">
        <v>26</v>
      </c>
      <c r="O262" s="307">
        <v>200</v>
      </c>
      <c r="P262" s="307"/>
      <c r="Q262" s="307"/>
      <c r="R262" s="307"/>
      <c r="S262" s="307"/>
      <c r="T262" s="16"/>
      <c r="U262" s="190"/>
      <c r="V262" s="8"/>
    </row>
    <row r="263" spans="1:22" s="32" customFormat="1" ht="48" x14ac:dyDescent="0.2">
      <c r="A263" s="239" t="s">
        <v>2134</v>
      </c>
      <c r="B263" s="309">
        <v>43770</v>
      </c>
      <c r="C263" s="239" t="s">
        <v>981</v>
      </c>
      <c r="D263" s="400" t="s">
        <v>2782</v>
      </c>
      <c r="E263" s="187" t="s">
        <v>696</v>
      </c>
      <c r="F263" s="310" t="s">
        <v>58</v>
      </c>
      <c r="G263" s="310" t="s">
        <v>2065</v>
      </c>
      <c r="H263" s="310" t="s">
        <v>1977</v>
      </c>
      <c r="I263" s="198" t="s">
        <v>33</v>
      </c>
      <c r="J263" s="351" t="s">
        <v>429</v>
      </c>
      <c r="K263" s="352">
        <v>45291</v>
      </c>
      <c r="L263" s="311"/>
      <c r="M263" s="312">
        <v>44926</v>
      </c>
      <c r="N263" s="310" t="s">
        <v>26</v>
      </c>
      <c r="O263" s="313">
        <v>200</v>
      </c>
      <c r="P263" s="313"/>
      <c r="Q263" s="313"/>
      <c r="R263" s="313"/>
      <c r="S263" s="313"/>
      <c r="T263" s="197"/>
      <c r="U263" s="188"/>
      <c r="V263" s="171"/>
    </row>
    <row r="264" spans="1:22" s="32" customFormat="1" ht="110.25" customHeight="1" x14ac:dyDescent="0.2">
      <c r="A264" s="239" t="s">
        <v>2152</v>
      </c>
      <c r="B264" s="309">
        <v>44075</v>
      </c>
      <c r="C264" s="239" t="s">
        <v>1718</v>
      </c>
      <c r="D264" s="400" t="s">
        <v>2781</v>
      </c>
      <c r="E264" s="187" t="s">
        <v>730</v>
      </c>
      <c r="F264" s="310" t="s">
        <v>731</v>
      </c>
      <c r="G264" s="310" t="s">
        <v>2041</v>
      </c>
      <c r="H264" s="310" t="s">
        <v>1996</v>
      </c>
      <c r="I264" s="198" t="s">
        <v>228</v>
      </c>
      <c r="J264" s="351" t="s">
        <v>40</v>
      </c>
      <c r="K264" s="352">
        <v>45192</v>
      </c>
      <c r="L264" s="311"/>
      <c r="M264" s="312">
        <v>44392</v>
      </c>
      <c r="N264" s="310" t="s">
        <v>52</v>
      </c>
      <c r="O264" s="313">
        <v>200</v>
      </c>
      <c r="P264" s="313"/>
      <c r="Q264" s="313"/>
      <c r="R264" s="313"/>
      <c r="S264" s="313"/>
      <c r="T264" s="197"/>
      <c r="U264" s="188"/>
      <c r="V264" s="171"/>
    </row>
    <row r="265" spans="1:22" s="32" customFormat="1" ht="108" x14ac:dyDescent="0.2">
      <c r="A265" s="305" t="s">
        <v>2153</v>
      </c>
      <c r="B265" s="304">
        <v>44378</v>
      </c>
      <c r="C265" s="305" t="s">
        <v>1792</v>
      </c>
      <c r="D265" s="11" t="s">
        <v>2780</v>
      </c>
      <c r="E265" s="189" t="s">
        <v>1793</v>
      </c>
      <c r="F265" s="273" t="s">
        <v>1794</v>
      </c>
      <c r="G265" s="273" t="s">
        <v>116</v>
      </c>
      <c r="H265" s="273" t="s">
        <v>2104</v>
      </c>
      <c r="I265" s="17" t="s">
        <v>1753</v>
      </c>
      <c r="J265" s="349" t="s">
        <v>678</v>
      </c>
      <c r="K265" s="355">
        <v>45101</v>
      </c>
      <c r="L265" s="26"/>
      <c r="M265" s="306">
        <v>44707</v>
      </c>
      <c r="N265" s="273" t="s">
        <v>52</v>
      </c>
      <c r="O265" s="307">
        <v>200</v>
      </c>
      <c r="P265" s="307"/>
      <c r="Q265" s="307"/>
      <c r="R265" s="307"/>
      <c r="S265" s="307"/>
      <c r="T265" s="16"/>
      <c r="U265" s="190"/>
      <c r="V265" s="8"/>
    </row>
    <row r="266" spans="1:22" s="32" customFormat="1" ht="66" customHeight="1" x14ac:dyDescent="0.2">
      <c r="A266" s="305" t="s">
        <v>2151</v>
      </c>
      <c r="B266" s="304">
        <v>44075</v>
      </c>
      <c r="C266" s="305" t="s">
        <v>1719</v>
      </c>
      <c r="D266" s="273" t="s">
        <v>2779</v>
      </c>
      <c r="E266" s="189" t="s">
        <v>730</v>
      </c>
      <c r="F266" s="273" t="s">
        <v>1670</v>
      </c>
      <c r="G266" s="273" t="s">
        <v>2041</v>
      </c>
      <c r="H266" s="273" t="s">
        <v>1996</v>
      </c>
      <c r="I266" s="17" t="s">
        <v>228</v>
      </c>
      <c r="J266" s="349" t="s">
        <v>40</v>
      </c>
      <c r="K266" s="350">
        <v>45192</v>
      </c>
      <c r="L266" s="26"/>
      <c r="M266" s="331">
        <v>44392</v>
      </c>
      <c r="N266" s="332" t="s">
        <v>52</v>
      </c>
      <c r="O266" s="307">
        <v>200</v>
      </c>
      <c r="P266" s="307"/>
      <c r="Q266" s="307"/>
      <c r="R266" s="307"/>
      <c r="S266" s="307"/>
      <c r="T266" s="16"/>
      <c r="U266" s="190"/>
      <c r="V266" s="172"/>
    </row>
    <row r="267" spans="1:22" ht="60" x14ac:dyDescent="0.25">
      <c r="A267" s="181" t="s">
        <v>2164</v>
      </c>
      <c r="B267" s="183" t="s">
        <v>252</v>
      </c>
      <c r="C267" s="181" t="s">
        <v>795</v>
      </c>
      <c r="D267" s="400" t="s">
        <v>2767</v>
      </c>
      <c r="E267" s="184" t="s">
        <v>253</v>
      </c>
      <c r="F267" s="184" t="s">
        <v>160</v>
      </c>
      <c r="G267" s="184" t="s">
        <v>50</v>
      </c>
      <c r="H267" s="192" t="s">
        <v>51</v>
      </c>
      <c r="I267" s="185" t="s">
        <v>33</v>
      </c>
      <c r="J267" s="244" t="s">
        <v>678</v>
      </c>
      <c r="K267" s="334">
        <v>45156</v>
      </c>
      <c r="L267" s="193">
        <v>42709</v>
      </c>
      <c r="M267" s="186">
        <v>44791</v>
      </c>
      <c r="N267" s="192" t="s">
        <v>52</v>
      </c>
      <c r="O267" s="194">
        <v>200</v>
      </c>
      <c r="P267" s="194"/>
      <c r="Q267" s="194">
        <v>100</v>
      </c>
      <c r="R267" s="194">
        <v>100</v>
      </c>
      <c r="S267" s="194" t="s">
        <v>29</v>
      </c>
      <c r="T267" s="197">
        <v>42643</v>
      </c>
      <c r="U267" s="196">
        <f t="shared" ref="U267" si="2">EDATE(T267,2)</f>
        <v>42704</v>
      </c>
      <c r="V267" s="171">
        <v>42703</v>
      </c>
    </row>
    <row r="268" spans="1:22" s="32" customFormat="1" ht="99" customHeight="1" x14ac:dyDescent="0.2">
      <c r="A268" s="305" t="s">
        <v>2171</v>
      </c>
      <c r="B268" s="370">
        <v>44805</v>
      </c>
      <c r="C268" s="305" t="s">
        <v>2051</v>
      </c>
      <c r="D268" s="11" t="s">
        <v>2757</v>
      </c>
      <c r="E268" s="189" t="s">
        <v>2046</v>
      </c>
      <c r="F268" s="273" t="s">
        <v>2047</v>
      </c>
      <c r="G268" s="273" t="s">
        <v>116</v>
      </c>
      <c r="H268" s="273" t="s">
        <v>2147</v>
      </c>
      <c r="I268" s="17" t="s">
        <v>1745</v>
      </c>
      <c r="J268" s="349" t="s">
        <v>678</v>
      </c>
      <c r="K268" s="355">
        <v>45162</v>
      </c>
      <c r="L268" s="26"/>
      <c r="M268" s="306">
        <v>44837</v>
      </c>
      <c r="N268" s="273" t="s">
        <v>47</v>
      </c>
      <c r="O268" s="307"/>
      <c r="P268" s="307"/>
      <c r="Q268" s="307">
        <v>200</v>
      </c>
      <c r="R268" s="307">
        <v>200</v>
      </c>
      <c r="S268" s="307"/>
      <c r="T268" s="16"/>
      <c r="U268" s="190"/>
      <c r="V268" s="8"/>
    </row>
    <row r="269" spans="1:22" s="32" customFormat="1" ht="84" x14ac:dyDescent="0.2">
      <c r="A269" s="305" t="s">
        <v>2170</v>
      </c>
      <c r="B269" s="304">
        <v>44682</v>
      </c>
      <c r="C269" s="305" t="s">
        <v>2010</v>
      </c>
      <c r="D269" s="11" t="s">
        <v>2727</v>
      </c>
      <c r="E269" s="189" t="s">
        <v>2009</v>
      </c>
      <c r="F269" s="273" t="s">
        <v>2053</v>
      </c>
      <c r="G269" s="273" t="s">
        <v>44</v>
      </c>
      <c r="H269" s="273"/>
      <c r="I269" s="17" t="s">
        <v>33</v>
      </c>
      <c r="J269" s="349" t="s">
        <v>40</v>
      </c>
      <c r="K269" s="355">
        <v>45232</v>
      </c>
      <c r="L269" s="26"/>
      <c r="M269" s="306">
        <v>44867</v>
      </c>
      <c r="N269" s="273" t="s">
        <v>26</v>
      </c>
      <c r="O269" s="307"/>
      <c r="P269" s="307"/>
      <c r="Q269" s="307"/>
      <c r="R269" s="307"/>
      <c r="S269" s="307"/>
      <c r="T269" s="16"/>
      <c r="U269" s="190"/>
      <c r="V269" s="8"/>
    </row>
    <row r="270" spans="1:22" ht="48.75" customHeight="1" x14ac:dyDescent="0.25">
      <c r="A270" s="181" t="s">
        <v>2184</v>
      </c>
      <c r="B270" s="247">
        <v>43922</v>
      </c>
      <c r="C270" s="181" t="s">
        <v>899</v>
      </c>
      <c r="D270" s="400" t="s">
        <v>2726</v>
      </c>
      <c r="E270" s="184" t="s">
        <v>520</v>
      </c>
      <c r="F270" s="192">
        <v>30</v>
      </c>
      <c r="G270" s="184" t="s">
        <v>531</v>
      </c>
      <c r="H270" s="192" t="s">
        <v>1990</v>
      </c>
      <c r="I270" s="185"/>
      <c r="J270" s="244" t="s">
        <v>2016</v>
      </c>
      <c r="K270" s="334">
        <v>45036</v>
      </c>
      <c r="L270" s="193"/>
      <c r="M270" s="186"/>
      <c r="N270" s="192"/>
      <c r="O270" s="194"/>
      <c r="P270" s="194"/>
      <c r="Q270" s="194"/>
      <c r="R270" s="194"/>
      <c r="S270" s="194"/>
      <c r="T270" s="184"/>
      <c r="U270" s="196"/>
      <c r="V270" s="173"/>
    </row>
    <row r="271" spans="1:22" ht="72.75" x14ac:dyDescent="0.25">
      <c r="A271" s="2" t="s">
        <v>2182</v>
      </c>
      <c r="B271" s="21">
        <v>43405</v>
      </c>
      <c r="C271" s="2" t="s">
        <v>855</v>
      </c>
      <c r="D271" s="11" t="s">
        <v>2751</v>
      </c>
      <c r="E271" s="4" t="s">
        <v>439</v>
      </c>
      <c r="F271" s="4" t="s">
        <v>133</v>
      </c>
      <c r="G271" s="4" t="s">
        <v>2065</v>
      </c>
      <c r="H271" s="266" t="s">
        <v>1853</v>
      </c>
      <c r="I271" s="5" t="s">
        <v>33</v>
      </c>
      <c r="J271" s="20" t="s">
        <v>1951</v>
      </c>
      <c r="K271" s="335">
        <v>45350</v>
      </c>
      <c r="L271" s="12"/>
      <c r="M271" s="19">
        <v>44985</v>
      </c>
      <c r="N271" s="11" t="s">
        <v>26</v>
      </c>
      <c r="O271" s="13">
        <v>200</v>
      </c>
      <c r="P271" s="13"/>
      <c r="Q271" s="13"/>
      <c r="R271" s="13"/>
      <c r="S271" s="13"/>
      <c r="T271" s="16">
        <v>42613</v>
      </c>
      <c r="U271" s="14">
        <f>EDATE(T271,2)</f>
        <v>42674</v>
      </c>
      <c r="V271" s="172"/>
    </row>
    <row r="272" spans="1:22" s="32" customFormat="1" ht="72" x14ac:dyDescent="0.2">
      <c r="A272" s="305" t="s">
        <v>2183</v>
      </c>
      <c r="B272" s="304">
        <v>44228</v>
      </c>
      <c r="C272" s="305" t="s">
        <v>1749</v>
      </c>
      <c r="D272" s="11" t="s">
        <v>2726</v>
      </c>
      <c r="E272" s="189" t="s">
        <v>1754</v>
      </c>
      <c r="F272" s="273" t="s">
        <v>1770</v>
      </c>
      <c r="G272" s="273" t="s">
        <v>32</v>
      </c>
      <c r="H272" s="273"/>
      <c r="I272" s="17" t="s">
        <v>1721</v>
      </c>
      <c r="J272" s="349" t="s">
        <v>678</v>
      </c>
      <c r="K272" s="355">
        <v>45311</v>
      </c>
      <c r="L272" s="26"/>
      <c r="M272" s="306">
        <v>44946</v>
      </c>
      <c r="N272" s="273" t="s">
        <v>26</v>
      </c>
      <c r="O272" s="307">
        <v>200</v>
      </c>
      <c r="P272" s="307"/>
      <c r="Q272" s="307"/>
      <c r="R272" s="307"/>
      <c r="S272" s="307"/>
      <c r="T272" s="16"/>
      <c r="U272" s="190"/>
      <c r="V272" s="8"/>
    </row>
    <row r="273" spans="1:22" s="32" customFormat="1" ht="72" x14ac:dyDescent="0.2">
      <c r="A273" s="305" t="s">
        <v>2207</v>
      </c>
      <c r="B273" s="304">
        <v>44896</v>
      </c>
      <c r="C273" s="358" t="s">
        <v>2083</v>
      </c>
      <c r="D273" s="11" t="s">
        <v>2726</v>
      </c>
      <c r="E273" s="189" t="s">
        <v>2048</v>
      </c>
      <c r="F273" s="273" t="s">
        <v>2049</v>
      </c>
      <c r="G273" s="273" t="s">
        <v>44</v>
      </c>
      <c r="H273" s="273"/>
      <c r="I273" s="17" t="s">
        <v>56</v>
      </c>
      <c r="J273" s="349" t="s">
        <v>678</v>
      </c>
      <c r="K273" s="355">
        <v>45214</v>
      </c>
      <c r="L273" s="26"/>
      <c r="M273" s="306"/>
      <c r="N273" s="273"/>
      <c r="O273" s="307"/>
      <c r="P273" s="307"/>
      <c r="Q273" s="307"/>
      <c r="R273" s="307"/>
      <c r="S273" s="307"/>
      <c r="T273" s="16"/>
      <c r="U273" s="190"/>
      <c r="V273" s="8"/>
    </row>
    <row r="274" spans="1:22" s="1" customFormat="1" ht="69" customHeight="1" x14ac:dyDescent="0.25">
      <c r="A274" s="2" t="s">
        <v>2221</v>
      </c>
      <c r="B274" s="21">
        <v>43282</v>
      </c>
      <c r="C274" s="2" t="s">
        <v>941</v>
      </c>
      <c r="D274" s="11" t="s">
        <v>2746</v>
      </c>
      <c r="E274" s="4" t="s">
        <v>607</v>
      </c>
      <c r="F274" s="11" t="s">
        <v>608</v>
      </c>
      <c r="G274" s="11" t="s">
        <v>2174</v>
      </c>
      <c r="H274" s="20" t="s">
        <v>1850</v>
      </c>
      <c r="I274" s="5" t="s">
        <v>60</v>
      </c>
      <c r="J274" s="20" t="s">
        <v>2158</v>
      </c>
      <c r="K274" s="335">
        <v>45471</v>
      </c>
      <c r="L274" s="12"/>
      <c r="M274" s="19">
        <v>45105</v>
      </c>
      <c r="N274" s="11" t="s">
        <v>26</v>
      </c>
      <c r="O274" s="13">
        <v>200</v>
      </c>
      <c r="P274" s="13"/>
      <c r="Q274" s="13"/>
      <c r="R274" s="13"/>
      <c r="S274" s="13"/>
      <c r="T274" s="4"/>
      <c r="U274" s="14"/>
      <c r="V274" s="177"/>
    </row>
    <row r="275" spans="1:22" ht="48.75" customHeight="1" x14ac:dyDescent="0.25">
      <c r="A275" s="2" t="s">
        <v>2228</v>
      </c>
      <c r="B275" s="21">
        <v>43630</v>
      </c>
      <c r="C275" s="2" t="s">
        <v>898</v>
      </c>
      <c r="D275" s="11" t="s">
        <v>2757</v>
      </c>
      <c r="E275" s="4" t="s">
        <v>520</v>
      </c>
      <c r="F275" s="11">
        <v>40</v>
      </c>
      <c r="G275" s="4" t="s">
        <v>531</v>
      </c>
      <c r="H275" s="11" t="s">
        <v>1989</v>
      </c>
      <c r="I275" s="5"/>
      <c r="J275" s="20" t="s">
        <v>2013</v>
      </c>
      <c r="K275" s="365" t="s">
        <v>2014</v>
      </c>
      <c r="L275" s="12"/>
      <c r="M275" s="6"/>
      <c r="N275" s="11"/>
      <c r="O275" s="13"/>
      <c r="P275" s="13"/>
      <c r="Q275" s="13"/>
      <c r="R275" s="13"/>
      <c r="S275" s="13"/>
      <c r="T275" s="4"/>
      <c r="U275" s="14"/>
      <c r="V275" s="177"/>
    </row>
    <row r="276" spans="1:22" ht="59.25" customHeight="1" x14ac:dyDescent="0.25">
      <c r="A276" s="181" t="s">
        <v>2301</v>
      </c>
      <c r="B276" s="247"/>
      <c r="C276" s="181" t="s">
        <v>894</v>
      </c>
      <c r="D276" s="400" t="s">
        <v>2730</v>
      </c>
      <c r="E276" s="184"/>
      <c r="F276" s="192">
        <v>6</v>
      </c>
      <c r="G276" s="184" t="s">
        <v>1939</v>
      </c>
      <c r="H276" s="192"/>
      <c r="I276" s="185"/>
      <c r="J276" s="244" t="s">
        <v>2129</v>
      </c>
      <c r="K276" s="334">
        <v>44926</v>
      </c>
      <c r="L276" s="193"/>
      <c r="M276" s="186"/>
      <c r="N276" s="192"/>
      <c r="O276" s="194"/>
      <c r="P276" s="194"/>
      <c r="Q276" s="194"/>
      <c r="R276" s="194"/>
      <c r="S276" s="194"/>
      <c r="T276" s="184"/>
      <c r="U276" s="196"/>
      <c r="V276" s="173"/>
    </row>
    <row r="277" spans="1:22" ht="168" x14ac:dyDescent="0.25">
      <c r="A277" s="2" t="s">
        <v>2320</v>
      </c>
      <c r="B277" s="3" t="s">
        <v>269</v>
      </c>
      <c r="C277" s="2" t="s">
        <v>803</v>
      </c>
      <c r="D277" s="11" t="s">
        <v>2727</v>
      </c>
      <c r="E277" s="4" t="s">
        <v>278</v>
      </c>
      <c r="F277" s="4" t="s">
        <v>279</v>
      </c>
      <c r="G277" s="11" t="s">
        <v>1805</v>
      </c>
      <c r="H277" s="11" t="s">
        <v>1983</v>
      </c>
      <c r="I277" s="5" t="s">
        <v>60</v>
      </c>
      <c r="J277" s="20" t="s">
        <v>678</v>
      </c>
      <c r="K277" s="335">
        <v>45671</v>
      </c>
      <c r="L277" s="12">
        <v>41992</v>
      </c>
      <c r="M277" s="6">
        <v>45305</v>
      </c>
      <c r="N277" s="11" t="s">
        <v>52</v>
      </c>
      <c r="O277" s="13">
        <v>200</v>
      </c>
      <c r="P277" s="13"/>
      <c r="Q277" s="13" t="s">
        <v>280</v>
      </c>
      <c r="R277" s="13">
        <v>150</v>
      </c>
      <c r="S277" s="13" t="s">
        <v>35</v>
      </c>
      <c r="T277" s="16">
        <v>42734</v>
      </c>
      <c r="U277" s="14">
        <f>EDATE(T277,2)</f>
        <v>42794</v>
      </c>
      <c r="V277" s="172">
        <v>42423</v>
      </c>
    </row>
    <row r="278" spans="1:22" s="32" customFormat="1" ht="48" x14ac:dyDescent="0.2">
      <c r="A278" s="305" t="s">
        <v>2321</v>
      </c>
      <c r="B278" s="370">
        <v>44896</v>
      </c>
      <c r="C278" s="305" t="s">
        <v>2085</v>
      </c>
      <c r="D278" s="273" t="s">
        <v>2727</v>
      </c>
      <c r="E278" s="189" t="s">
        <v>2084</v>
      </c>
      <c r="F278" s="273" t="s">
        <v>62</v>
      </c>
      <c r="G278" s="273" t="s">
        <v>1845</v>
      </c>
      <c r="H278" s="273"/>
      <c r="I278" s="17" t="s">
        <v>39</v>
      </c>
      <c r="J278" s="349" t="s">
        <v>2158</v>
      </c>
      <c r="K278" s="355">
        <v>45611</v>
      </c>
      <c r="L278" s="26"/>
      <c r="M278" s="306">
        <v>45245</v>
      </c>
      <c r="N278" s="273" t="s">
        <v>52</v>
      </c>
      <c r="O278" s="307"/>
      <c r="P278" s="307"/>
      <c r="Q278" s="307"/>
      <c r="R278" s="307"/>
      <c r="S278" s="307"/>
      <c r="T278" s="16"/>
      <c r="U278" s="190"/>
      <c r="V278" s="8"/>
    </row>
    <row r="279" spans="1:22" s="1" customFormat="1" ht="132" x14ac:dyDescent="0.25">
      <c r="A279" s="2" t="s">
        <v>2353</v>
      </c>
      <c r="B279" s="21">
        <v>42248</v>
      </c>
      <c r="C279" s="2" t="s">
        <v>860</v>
      </c>
      <c r="D279" s="11" t="s">
        <v>2751</v>
      </c>
      <c r="E279" s="4" t="s">
        <v>450</v>
      </c>
      <c r="F279" s="11" t="s">
        <v>451</v>
      </c>
      <c r="G279" s="4" t="s">
        <v>50</v>
      </c>
      <c r="H279" s="266"/>
      <c r="I279" s="5" t="s">
        <v>33</v>
      </c>
      <c r="J279" s="20" t="s">
        <v>678</v>
      </c>
      <c r="K279" s="335">
        <v>45500</v>
      </c>
      <c r="L279" s="12"/>
      <c r="M279" s="19">
        <v>45134</v>
      </c>
      <c r="N279" s="11" t="s">
        <v>52</v>
      </c>
      <c r="O279" s="13">
        <v>200</v>
      </c>
      <c r="P279" s="13"/>
      <c r="Q279" s="13"/>
      <c r="R279" s="13"/>
      <c r="S279" s="13"/>
      <c r="T279" s="273" t="s">
        <v>452</v>
      </c>
      <c r="U279" s="273" t="s">
        <v>452</v>
      </c>
      <c r="V279" s="176" t="s">
        <v>452</v>
      </c>
    </row>
    <row r="280" spans="1:22" ht="48" x14ac:dyDescent="0.25">
      <c r="A280" s="181" t="s">
        <v>2352</v>
      </c>
      <c r="B280" s="247">
        <v>40848</v>
      </c>
      <c r="C280" s="181" t="s">
        <v>813</v>
      </c>
      <c r="D280" s="400" t="s">
        <v>2730</v>
      </c>
      <c r="E280" s="184" t="s">
        <v>313</v>
      </c>
      <c r="F280" s="192" t="s">
        <v>314</v>
      </c>
      <c r="G280" s="192" t="s">
        <v>2235</v>
      </c>
      <c r="H280" s="192" t="s">
        <v>28</v>
      </c>
      <c r="I280" s="185" t="s">
        <v>33</v>
      </c>
      <c r="J280" s="244" t="s">
        <v>678</v>
      </c>
      <c r="K280" s="334">
        <v>45555</v>
      </c>
      <c r="L280" s="193"/>
      <c r="M280" s="186">
        <v>45189</v>
      </c>
      <c r="N280" s="192" t="s">
        <v>504</v>
      </c>
      <c r="O280" s="194">
        <v>200</v>
      </c>
      <c r="P280" s="194"/>
      <c r="Q280" s="194"/>
      <c r="R280" s="194"/>
      <c r="S280" s="194" t="s">
        <v>29</v>
      </c>
      <c r="T280" s="197">
        <v>42613</v>
      </c>
      <c r="U280" s="196">
        <f t="shared" ref="U280" si="3">EDATE(T280,2)</f>
        <v>42674</v>
      </c>
      <c r="V280" s="171">
        <v>42656</v>
      </c>
    </row>
    <row r="281" spans="1:22" s="32" customFormat="1" ht="72" x14ac:dyDescent="0.2">
      <c r="A281" s="305" t="s">
        <v>2357</v>
      </c>
      <c r="B281" s="304">
        <v>44228</v>
      </c>
      <c r="C281" s="305" t="s">
        <v>1768</v>
      </c>
      <c r="D281" s="11" t="s">
        <v>2726</v>
      </c>
      <c r="E281" s="189" t="s">
        <v>1754</v>
      </c>
      <c r="F281" s="273" t="s">
        <v>1750</v>
      </c>
      <c r="G281" s="273" t="s">
        <v>2319</v>
      </c>
      <c r="H281" s="273"/>
      <c r="I281" s="17" t="s">
        <v>1721</v>
      </c>
      <c r="J281" s="349" t="s">
        <v>678</v>
      </c>
      <c r="K281" s="355">
        <v>45677</v>
      </c>
      <c r="L281" s="26"/>
      <c r="M281" s="306">
        <v>45311</v>
      </c>
      <c r="N281" s="273" t="s">
        <v>26</v>
      </c>
      <c r="O281" s="307">
        <v>200</v>
      </c>
      <c r="P281" s="307"/>
      <c r="Q281" s="307"/>
      <c r="R281" s="307"/>
      <c r="S281" s="307"/>
      <c r="T281" s="16"/>
      <c r="U281" s="190"/>
      <c r="V281" s="8"/>
    </row>
    <row r="282" spans="1:22" s="32" customFormat="1" ht="72" x14ac:dyDescent="0.2">
      <c r="A282" s="305" t="s">
        <v>2358</v>
      </c>
      <c r="B282" s="304">
        <v>44228</v>
      </c>
      <c r="C282" s="305" t="s">
        <v>1748</v>
      </c>
      <c r="D282" s="11" t="s">
        <v>2726</v>
      </c>
      <c r="E282" s="189" t="s">
        <v>1754</v>
      </c>
      <c r="F282" s="273" t="s">
        <v>1769</v>
      </c>
      <c r="G282" s="273" t="s">
        <v>2319</v>
      </c>
      <c r="H282" s="273"/>
      <c r="I282" s="17" t="s">
        <v>1721</v>
      </c>
      <c r="J282" s="349" t="s">
        <v>678</v>
      </c>
      <c r="K282" s="355">
        <v>45677</v>
      </c>
      <c r="L282" s="26"/>
      <c r="M282" s="306">
        <v>45311</v>
      </c>
      <c r="N282" s="273" t="s">
        <v>26</v>
      </c>
      <c r="O282" s="307">
        <v>200</v>
      </c>
      <c r="P282" s="307"/>
      <c r="Q282" s="307"/>
      <c r="R282" s="307"/>
      <c r="S282" s="307"/>
      <c r="T282" s="16"/>
      <c r="U282" s="190"/>
      <c r="V282" s="8"/>
    </row>
    <row r="283" spans="1:22" s="373" customFormat="1" ht="48" customHeight="1" x14ac:dyDescent="0.2">
      <c r="A283" s="2" t="s">
        <v>2368</v>
      </c>
      <c r="B283" s="246">
        <v>45108</v>
      </c>
      <c r="C283" s="11" t="s">
        <v>2131</v>
      </c>
      <c r="D283" s="11" t="s">
        <v>2742</v>
      </c>
      <c r="E283" s="4" t="s">
        <v>2132</v>
      </c>
      <c r="F283" s="11" t="s">
        <v>2133</v>
      </c>
      <c r="G283" s="11" t="s">
        <v>2290</v>
      </c>
      <c r="H283" s="11"/>
      <c r="I283" s="17" t="s">
        <v>39</v>
      </c>
      <c r="J283" s="20" t="s">
        <v>46</v>
      </c>
      <c r="K283" s="372">
        <v>45466</v>
      </c>
      <c r="L283" s="12"/>
      <c r="M283" s="19">
        <v>45349</v>
      </c>
      <c r="N283" s="11" t="s">
        <v>52</v>
      </c>
      <c r="O283" s="13"/>
      <c r="P283" s="13"/>
      <c r="Q283" s="13"/>
      <c r="R283" s="13"/>
      <c r="S283" s="13"/>
      <c r="T283" s="293"/>
      <c r="U283" s="14"/>
      <c r="V283" s="15"/>
    </row>
    <row r="284" spans="1:22" s="32" customFormat="1" ht="48" x14ac:dyDescent="0.2">
      <c r="A284" s="305" t="s">
        <v>2387</v>
      </c>
      <c r="B284" s="304">
        <v>44348</v>
      </c>
      <c r="C284" s="305" t="s">
        <v>1831</v>
      </c>
      <c r="D284" s="11" t="s">
        <v>2727</v>
      </c>
      <c r="E284" s="189" t="s">
        <v>1801</v>
      </c>
      <c r="F284" s="273" t="s">
        <v>1802</v>
      </c>
      <c r="G284" s="273" t="s">
        <v>2323</v>
      </c>
      <c r="H284" s="273"/>
      <c r="I284" s="17" t="s">
        <v>1753</v>
      </c>
      <c r="J284" s="349" t="s">
        <v>678</v>
      </c>
      <c r="K284" s="355">
        <v>45763</v>
      </c>
      <c r="L284" s="26"/>
      <c r="M284" s="306">
        <v>45398</v>
      </c>
      <c r="N284" s="273" t="s">
        <v>26</v>
      </c>
      <c r="O284" s="307">
        <v>200</v>
      </c>
      <c r="P284" s="307"/>
      <c r="Q284" s="307"/>
      <c r="R284" s="307"/>
      <c r="S284" s="307"/>
      <c r="T284" s="16"/>
      <c r="U284" s="190"/>
      <c r="V284" s="8"/>
    </row>
    <row r="285" spans="1:22" s="32" customFormat="1" ht="72" x14ac:dyDescent="0.2">
      <c r="A285" s="305" t="s">
        <v>2388</v>
      </c>
      <c r="B285" s="304">
        <v>44013</v>
      </c>
      <c r="C285" s="305" t="s">
        <v>991</v>
      </c>
      <c r="D285" s="11" t="s">
        <v>2731</v>
      </c>
      <c r="E285" s="189" t="s">
        <v>723</v>
      </c>
      <c r="F285" s="273" t="s">
        <v>724</v>
      </c>
      <c r="G285" s="273" t="s">
        <v>2322</v>
      </c>
      <c r="H285" s="273"/>
      <c r="I285" s="17" t="s">
        <v>33</v>
      </c>
      <c r="J285" s="20" t="s">
        <v>678</v>
      </c>
      <c r="K285" s="350">
        <v>45493</v>
      </c>
      <c r="L285" s="26"/>
      <c r="M285" s="306">
        <v>45493</v>
      </c>
      <c r="N285" s="273" t="s">
        <v>47</v>
      </c>
      <c r="O285" s="307">
        <v>200</v>
      </c>
      <c r="P285" s="307"/>
      <c r="Q285" s="307"/>
      <c r="R285" s="307"/>
      <c r="S285" s="307"/>
      <c r="T285" s="16"/>
      <c r="U285" s="190"/>
      <c r="V285" s="172"/>
    </row>
    <row r="286" spans="1:22" s="32" customFormat="1" ht="36" x14ac:dyDescent="0.2">
      <c r="A286" s="305" t="s">
        <v>2367</v>
      </c>
      <c r="B286" s="370">
        <v>44835</v>
      </c>
      <c r="C286" s="305" t="s">
        <v>2057</v>
      </c>
      <c r="D286" s="11" t="s">
        <v>2731</v>
      </c>
      <c r="E286" s="189" t="s">
        <v>2058</v>
      </c>
      <c r="F286" s="273" t="s">
        <v>2059</v>
      </c>
      <c r="G286" s="273" t="s">
        <v>139</v>
      </c>
      <c r="H286" s="273" t="s">
        <v>2284</v>
      </c>
      <c r="I286" s="17" t="s">
        <v>1745</v>
      </c>
      <c r="J286" s="349" t="s">
        <v>678</v>
      </c>
      <c r="K286" s="355">
        <v>45537</v>
      </c>
      <c r="L286" s="26"/>
      <c r="M286" s="306">
        <v>45537</v>
      </c>
      <c r="N286" s="273" t="s">
        <v>26</v>
      </c>
      <c r="O286" s="307"/>
      <c r="P286" s="307"/>
      <c r="Q286" s="307"/>
      <c r="R286" s="307"/>
      <c r="S286" s="307"/>
      <c r="T286" s="16"/>
      <c r="U286" s="190"/>
      <c r="V286" s="8"/>
    </row>
    <row r="287" spans="1:22" s="1" customFormat="1" ht="60" x14ac:dyDescent="0.25">
      <c r="A287" s="2" t="s">
        <v>2409</v>
      </c>
      <c r="B287" s="21">
        <v>43405</v>
      </c>
      <c r="C287" s="2" t="s">
        <v>954</v>
      </c>
      <c r="D287" s="11" t="s">
        <v>2727</v>
      </c>
      <c r="E287" s="4" t="s">
        <v>634</v>
      </c>
      <c r="F287" s="11" t="s">
        <v>635</v>
      </c>
      <c r="G287" s="4" t="s">
        <v>2041</v>
      </c>
      <c r="H287" s="20" t="s">
        <v>636</v>
      </c>
      <c r="I287" s="20" t="s">
        <v>33</v>
      </c>
      <c r="J287" s="20" t="s">
        <v>678</v>
      </c>
      <c r="K287" s="335">
        <v>45747</v>
      </c>
      <c r="L287" s="12"/>
      <c r="M287" s="19">
        <v>45382</v>
      </c>
      <c r="N287" s="11" t="s">
        <v>26</v>
      </c>
      <c r="O287" s="13">
        <v>200</v>
      </c>
      <c r="P287" s="13"/>
      <c r="Q287" s="13">
        <v>300</v>
      </c>
      <c r="R287" s="13"/>
      <c r="S287" s="13"/>
      <c r="T287" s="4"/>
      <c r="U287" s="14"/>
      <c r="V287" s="177"/>
    </row>
    <row r="288" spans="1:22" s="32" customFormat="1" ht="48" x14ac:dyDescent="0.2">
      <c r="A288" s="305" t="s">
        <v>2414</v>
      </c>
      <c r="B288" s="304">
        <v>44531</v>
      </c>
      <c r="C288" s="305" t="s">
        <v>1922</v>
      </c>
      <c r="D288" s="11" t="s">
        <v>2776</v>
      </c>
      <c r="E288" s="189" t="s">
        <v>1923</v>
      </c>
      <c r="F288" s="273" t="s">
        <v>1924</v>
      </c>
      <c r="G288" s="273" t="s">
        <v>50</v>
      </c>
      <c r="H288" s="273"/>
      <c r="I288" s="17" t="s">
        <v>33</v>
      </c>
      <c r="J288" s="349" t="s">
        <v>678</v>
      </c>
      <c r="K288" s="355">
        <v>45639</v>
      </c>
      <c r="L288" s="26"/>
      <c r="M288" s="306">
        <v>45254</v>
      </c>
      <c r="N288" s="273" t="s">
        <v>26</v>
      </c>
      <c r="O288" s="307">
        <v>200</v>
      </c>
      <c r="P288" s="307"/>
      <c r="Q288" s="307"/>
      <c r="R288" s="307"/>
      <c r="S288" s="307"/>
      <c r="T288" s="16"/>
      <c r="U288" s="190"/>
      <c r="V288" s="8"/>
    </row>
    <row r="289" spans="1:22" s="373" customFormat="1" ht="96.75" customHeight="1" x14ac:dyDescent="0.2">
      <c r="A289" s="2" t="s">
        <v>2429</v>
      </c>
      <c r="B289" s="246">
        <v>45352</v>
      </c>
      <c r="C289" s="11" t="s">
        <v>2256</v>
      </c>
      <c r="D289" s="11" t="s">
        <v>2727</v>
      </c>
      <c r="E289" s="4" t="s">
        <v>2257</v>
      </c>
      <c r="F289" s="11" t="s">
        <v>2258</v>
      </c>
      <c r="G289" s="11" t="s">
        <v>44</v>
      </c>
      <c r="H289" s="11" t="s">
        <v>2393</v>
      </c>
      <c r="I289" s="17" t="s">
        <v>2219</v>
      </c>
      <c r="J289" s="20" t="s">
        <v>2158</v>
      </c>
      <c r="K289" s="372">
        <v>45704</v>
      </c>
      <c r="L289" s="12"/>
      <c r="M289" s="19"/>
      <c r="N289" s="11"/>
      <c r="O289" s="13"/>
      <c r="P289" s="13"/>
      <c r="Q289" s="13"/>
      <c r="R289" s="13"/>
      <c r="S289" s="13"/>
      <c r="T289" s="293"/>
      <c r="U289" s="14"/>
      <c r="V289" s="15"/>
    </row>
    <row r="290" spans="1:22" ht="84" x14ac:dyDescent="0.25">
      <c r="A290" s="249" t="s">
        <v>2447</v>
      </c>
      <c r="B290" s="248">
        <v>41883</v>
      </c>
      <c r="C290" s="249" t="s">
        <v>848</v>
      </c>
      <c r="D290" s="287" t="s">
        <v>2788</v>
      </c>
      <c r="E290" s="250" t="s">
        <v>424</v>
      </c>
      <c r="F290" s="250" t="s">
        <v>425</v>
      </c>
      <c r="G290" s="250" t="s">
        <v>2139</v>
      </c>
      <c r="H290" s="251" t="s">
        <v>2262</v>
      </c>
      <c r="I290" s="252" t="s">
        <v>33</v>
      </c>
      <c r="J290" s="343" t="s">
        <v>2158</v>
      </c>
      <c r="K290" s="344">
        <v>45657</v>
      </c>
      <c r="L290" s="253">
        <v>42277</v>
      </c>
      <c r="M290" s="268">
        <v>45657</v>
      </c>
      <c r="N290" s="251" t="s">
        <v>52</v>
      </c>
      <c r="O290" s="254">
        <v>200</v>
      </c>
      <c r="P290" s="254"/>
      <c r="Q290" s="254">
        <v>300</v>
      </c>
      <c r="R290" s="254"/>
      <c r="S290" s="254" t="s">
        <v>29</v>
      </c>
      <c r="T290" s="16">
        <v>42674</v>
      </c>
      <c r="U290" s="14">
        <f t="shared" ref="U290" si="4">EDATE(T290,2)</f>
        <v>42735</v>
      </c>
      <c r="V290" s="172">
        <v>42334</v>
      </c>
    </row>
    <row r="291" spans="1:22" s="1" customFormat="1" ht="168" x14ac:dyDescent="0.25">
      <c r="A291" s="181" t="s">
        <v>2446</v>
      </c>
      <c r="B291" s="247">
        <v>43344</v>
      </c>
      <c r="C291" s="181" t="s">
        <v>946</v>
      </c>
      <c r="D291" s="400" t="s">
        <v>2768</v>
      </c>
      <c r="E291" s="184" t="s">
        <v>619</v>
      </c>
      <c r="F291" s="192" t="s">
        <v>620</v>
      </c>
      <c r="G291" s="184" t="s">
        <v>38</v>
      </c>
      <c r="H291" s="244" t="s">
        <v>2163</v>
      </c>
      <c r="I291" s="244"/>
      <c r="J291" s="244" t="s">
        <v>678</v>
      </c>
      <c r="K291" s="348">
        <v>45877</v>
      </c>
      <c r="L291" s="193"/>
      <c r="M291" s="241">
        <v>45146</v>
      </c>
      <c r="N291" s="192" t="s">
        <v>26</v>
      </c>
      <c r="O291" s="194">
        <v>200</v>
      </c>
      <c r="P291" s="194"/>
      <c r="Q291" s="194"/>
      <c r="R291" s="194"/>
      <c r="S291" s="194"/>
      <c r="T291" s="184"/>
      <c r="U291" s="196"/>
      <c r="V291" s="173"/>
    </row>
    <row r="292" spans="1:22" s="32" customFormat="1" ht="60" x14ac:dyDescent="0.2">
      <c r="A292" s="305" t="s">
        <v>2448</v>
      </c>
      <c r="B292" s="304">
        <v>44531</v>
      </c>
      <c r="C292" s="360" t="s">
        <v>1884</v>
      </c>
      <c r="D292" s="11" t="s">
        <v>2776</v>
      </c>
      <c r="E292" s="189" t="s">
        <v>1882</v>
      </c>
      <c r="F292" s="273" t="s">
        <v>1885</v>
      </c>
      <c r="G292" s="273" t="s">
        <v>2041</v>
      </c>
      <c r="H292" s="273" t="s">
        <v>2282</v>
      </c>
      <c r="I292" s="17" t="s">
        <v>1721</v>
      </c>
      <c r="J292" s="349" t="s">
        <v>678</v>
      </c>
      <c r="K292" s="355">
        <v>45596</v>
      </c>
      <c r="L292" s="26"/>
      <c r="M292" s="306">
        <v>45566</v>
      </c>
      <c r="N292" s="273" t="s">
        <v>47</v>
      </c>
      <c r="O292" s="307">
        <v>200</v>
      </c>
      <c r="P292" s="307"/>
      <c r="Q292" s="307"/>
      <c r="R292" s="307"/>
      <c r="S292" s="307"/>
      <c r="T292" s="16"/>
      <c r="U292" s="190"/>
      <c r="V292" s="8"/>
    </row>
    <row r="293" spans="1:22" s="33" customFormat="1" ht="122.25" customHeight="1" x14ac:dyDescent="0.2">
      <c r="A293" s="242" t="s">
        <v>2465</v>
      </c>
      <c r="B293" s="366">
        <v>45108</v>
      </c>
      <c r="C293" s="242" t="s">
        <v>2312</v>
      </c>
      <c r="D293" s="210" t="s">
        <v>2725</v>
      </c>
      <c r="E293" s="209" t="s">
        <v>2125</v>
      </c>
      <c r="F293" s="210" t="s">
        <v>2128</v>
      </c>
      <c r="G293" s="210" t="s">
        <v>38</v>
      </c>
      <c r="H293" s="210" t="s">
        <v>2144</v>
      </c>
      <c r="I293" s="211" t="s">
        <v>1745</v>
      </c>
      <c r="J293" s="281" t="s">
        <v>678</v>
      </c>
      <c r="K293" s="362">
        <v>45802</v>
      </c>
      <c r="L293" s="212"/>
      <c r="M293" s="213">
        <v>45437</v>
      </c>
      <c r="N293" s="210" t="s">
        <v>52</v>
      </c>
      <c r="O293" s="214"/>
      <c r="P293" s="214"/>
      <c r="Q293" s="214"/>
      <c r="R293" s="214"/>
      <c r="S293" s="214"/>
      <c r="T293" s="216"/>
      <c r="U293" s="238"/>
      <c r="V293" s="363"/>
    </row>
    <row r="294" spans="1:22" ht="48.75" customHeight="1" x14ac:dyDescent="0.25">
      <c r="A294" s="181" t="s">
        <v>2466</v>
      </c>
      <c r="B294" s="247">
        <v>43339</v>
      </c>
      <c r="C294" s="181" t="s">
        <v>897</v>
      </c>
      <c r="D294" s="400" t="s">
        <v>2766</v>
      </c>
      <c r="E294" s="184" t="s">
        <v>520</v>
      </c>
      <c r="F294" s="192">
        <v>45</v>
      </c>
      <c r="G294" s="184" t="s">
        <v>44</v>
      </c>
      <c r="H294" s="192" t="s">
        <v>1992</v>
      </c>
      <c r="I294" s="185"/>
      <c r="J294" s="244" t="s">
        <v>2004</v>
      </c>
      <c r="K294" s="348" t="s">
        <v>2004</v>
      </c>
      <c r="L294" s="193"/>
      <c r="M294" s="186"/>
      <c r="N294" s="192"/>
      <c r="O294" s="194"/>
      <c r="P294" s="194"/>
      <c r="Q294" s="194"/>
      <c r="R294" s="194"/>
      <c r="S294" s="194"/>
      <c r="T294" s="184"/>
      <c r="U294" s="196"/>
      <c r="V294" s="173"/>
    </row>
    <row r="295" spans="1:22" s="32" customFormat="1" ht="84" x14ac:dyDescent="0.2">
      <c r="A295" s="305" t="s">
        <v>2475</v>
      </c>
      <c r="B295" s="304">
        <v>43831</v>
      </c>
      <c r="C295" s="305" t="s">
        <v>985</v>
      </c>
      <c r="D295" s="11" t="s">
        <v>2750</v>
      </c>
      <c r="E295" s="189" t="s">
        <v>705</v>
      </c>
      <c r="F295" s="273" t="s">
        <v>706</v>
      </c>
      <c r="G295" s="273" t="s">
        <v>2139</v>
      </c>
      <c r="H295" s="273" t="s">
        <v>28</v>
      </c>
      <c r="I295" s="17" t="s">
        <v>33</v>
      </c>
      <c r="J295" s="349" t="s">
        <v>678</v>
      </c>
      <c r="K295" s="350">
        <v>46011</v>
      </c>
      <c r="L295" s="26"/>
      <c r="M295" s="306">
        <v>45646</v>
      </c>
      <c r="N295" s="273" t="s">
        <v>26</v>
      </c>
      <c r="O295" s="307">
        <v>200</v>
      </c>
      <c r="P295" s="307"/>
      <c r="Q295" s="307"/>
      <c r="R295" s="307"/>
      <c r="S295" s="307"/>
      <c r="T295" s="16"/>
      <c r="U295" s="190"/>
      <c r="V295" s="8"/>
    </row>
    <row r="296" spans="1:22" s="32" customFormat="1" ht="72" x14ac:dyDescent="0.2">
      <c r="A296" s="305" t="s">
        <v>2476</v>
      </c>
      <c r="B296" s="304">
        <v>44409</v>
      </c>
      <c r="C296" s="305" t="s">
        <v>1844</v>
      </c>
      <c r="D296" s="11" t="s">
        <v>2727</v>
      </c>
      <c r="E296" s="189" t="s">
        <v>1824</v>
      </c>
      <c r="F296" s="273" t="s">
        <v>1825</v>
      </c>
      <c r="G296" s="273" t="s">
        <v>2323</v>
      </c>
      <c r="H296" s="273" t="s">
        <v>28</v>
      </c>
      <c r="I296" s="17" t="s">
        <v>1826</v>
      </c>
      <c r="J296" s="349" t="s">
        <v>2344</v>
      </c>
      <c r="K296" s="355">
        <v>45755</v>
      </c>
      <c r="L296" s="26"/>
      <c r="M296" s="306">
        <v>45473</v>
      </c>
      <c r="N296" s="273" t="s">
        <v>47</v>
      </c>
      <c r="O296" s="307">
        <v>200</v>
      </c>
      <c r="P296" s="307"/>
      <c r="Q296" s="307"/>
      <c r="R296" s="307"/>
      <c r="S296" s="307"/>
      <c r="T296" s="16"/>
      <c r="U296" s="190"/>
      <c r="V296" s="8"/>
    </row>
    <row r="297" spans="1:22" ht="48" x14ac:dyDescent="0.25">
      <c r="A297" s="240" t="s">
        <v>2510</v>
      </c>
      <c r="B297" s="230"/>
      <c r="C297" s="240" t="s">
        <v>794</v>
      </c>
      <c r="D297" s="240"/>
      <c r="E297" s="232"/>
      <c r="F297" s="232" t="s">
        <v>104</v>
      </c>
      <c r="G297" s="232" t="s">
        <v>202</v>
      </c>
      <c r="H297" s="234"/>
      <c r="I297" s="5" t="s">
        <v>251</v>
      </c>
      <c r="J297" s="233" t="s">
        <v>678</v>
      </c>
      <c r="K297" s="342">
        <v>45913</v>
      </c>
      <c r="L297" s="235"/>
      <c r="M297" s="236"/>
      <c r="N297" s="234"/>
      <c r="O297" s="237"/>
      <c r="P297" s="237"/>
      <c r="Q297" s="237"/>
      <c r="R297" s="237"/>
      <c r="S297" s="237"/>
      <c r="T297" s="189" t="s">
        <v>28</v>
      </c>
      <c r="U297" s="14" t="s">
        <v>28</v>
      </c>
      <c r="V297" s="8" t="s">
        <v>28</v>
      </c>
    </row>
    <row r="298" spans="1:22" ht="48.75" customHeight="1" x14ac:dyDescent="0.25">
      <c r="A298" s="2" t="s">
        <v>2588</v>
      </c>
      <c r="B298" s="246">
        <v>45536</v>
      </c>
      <c r="C298" s="11" t="s">
        <v>2534</v>
      </c>
      <c r="D298" s="11" t="s">
        <v>2777</v>
      </c>
      <c r="E298" s="4" t="s">
        <v>2373</v>
      </c>
      <c r="F298" s="11" t="s">
        <v>89</v>
      </c>
      <c r="G298" s="11" t="s">
        <v>50</v>
      </c>
      <c r="H298" s="11"/>
      <c r="I298" s="17" t="s">
        <v>2374</v>
      </c>
      <c r="J298" s="20" t="s">
        <v>2158</v>
      </c>
      <c r="K298" s="372">
        <v>45883</v>
      </c>
      <c r="L298" s="12"/>
      <c r="M298" s="19">
        <v>45758</v>
      </c>
      <c r="N298" s="11" t="s">
        <v>52</v>
      </c>
      <c r="O298" s="13"/>
      <c r="P298" s="13"/>
      <c r="Q298" s="13"/>
      <c r="R298" s="13"/>
      <c r="S298" s="13"/>
      <c r="T298" s="293"/>
      <c r="U298" s="14"/>
      <c r="V298" s="15"/>
    </row>
    <row r="299" spans="1:22" s="373" customFormat="1" ht="48.75" customHeight="1" x14ac:dyDescent="0.2">
      <c r="A299" s="2" t="s">
        <v>2590</v>
      </c>
      <c r="B299" s="246">
        <v>45200</v>
      </c>
      <c r="C299" s="11" t="s">
        <v>2196</v>
      </c>
      <c r="D299" s="11" t="s">
        <v>2730</v>
      </c>
      <c r="E299" s="4" t="s">
        <v>2191</v>
      </c>
      <c r="F299" s="11" t="s">
        <v>2192</v>
      </c>
      <c r="G299" s="11" t="s">
        <v>144</v>
      </c>
      <c r="H299" s="11"/>
      <c r="I299" s="17" t="s">
        <v>2195</v>
      </c>
      <c r="J299" s="20" t="s">
        <v>2158</v>
      </c>
      <c r="K299" s="372">
        <v>45927</v>
      </c>
      <c r="L299" s="12"/>
      <c r="M299" s="19">
        <v>45562</v>
      </c>
      <c r="N299" s="11" t="s">
        <v>52</v>
      </c>
      <c r="O299" s="13"/>
      <c r="P299" s="13"/>
      <c r="Q299" s="13"/>
      <c r="R299" s="13"/>
      <c r="S299" s="13"/>
      <c r="T299" s="293"/>
      <c r="U299" s="14"/>
      <c r="V299" s="15"/>
    </row>
    <row r="300" spans="1:22" s="373" customFormat="1" ht="48.75" customHeight="1" x14ac:dyDescent="0.2">
      <c r="A300" s="2" t="s">
        <v>2591</v>
      </c>
      <c r="B300" s="246">
        <v>45200</v>
      </c>
      <c r="C300" s="11" t="s">
        <v>2197</v>
      </c>
      <c r="D300" s="11" t="s">
        <v>2730</v>
      </c>
      <c r="E300" s="4" t="s">
        <v>2191</v>
      </c>
      <c r="F300" s="11" t="s">
        <v>2193</v>
      </c>
      <c r="G300" s="11" t="s">
        <v>144</v>
      </c>
      <c r="H300" s="11"/>
      <c r="I300" s="17" t="s">
        <v>2195</v>
      </c>
      <c r="J300" s="20" t="s">
        <v>2158</v>
      </c>
      <c r="K300" s="372">
        <v>45927</v>
      </c>
      <c r="L300" s="12"/>
      <c r="M300" s="19">
        <v>45562</v>
      </c>
      <c r="N300" s="11" t="s">
        <v>52</v>
      </c>
      <c r="O300" s="13"/>
      <c r="P300" s="13"/>
      <c r="Q300" s="13"/>
      <c r="R300" s="13"/>
      <c r="S300" s="13"/>
      <c r="T300" s="293"/>
      <c r="U300" s="14"/>
      <c r="V300" s="15"/>
    </row>
    <row r="301" spans="1:22" s="373" customFormat="1" ht="49.5" customHeight="1" x14ac:dyDescent="0.2">
      <c r="A301" s="2" t="s">
        <v>2592</v>
      </c>
      <c r="B301" s="246">
        <v>45200</v>
      </c>
      <c r="C301" s="11" t="s">
        <v>2198</v>
      </c>
      <c r="D301" s="11" t="s">
        <v>2730</v>
      </c>
      <c r="E301" s="4" t="s">
        <v>2191</v>
      </c>
      <c r="F301" s="11" t="s">
        <v>2194</v>
      </c>
      <c r="G301" s="11" t="s">
        <v>144</v>
      </c>
      <c r="H301" s="11"/>
      <c r="I301" s="17" t="s">
        <v>2195</v>
      </c>
      <c r="J301" s="20" t="s">
        <v>2158</v>
      </c>
      <c r="K301" s="372">
        <v>45927</v>
      </c>
      <c r="L301" s="12"/>
      <c r="M301" s="19">
        <v>45562</v>
      </c>
      <c r="N301" s="11" t="s">
        <v>52</v>
      </c>
      <c r="O301" s="13"/>
      <c r="P301" s="13"/>
      <c r="Q301" s="13"/>
      <c r="R301" s="13"/>
      <c r="S301" s="13"/>
      <c r="T301" s="293"/>
      <c r="U301" s="14"/>
      <c r="V301" s="15"/>
    </row>
    <row r="302" spans="1:22" s="32" customFormat="1" ht="96" x14ac:dyDescent="0.2">
      <c r="A302" s="305" t="s">
        <v>2589</v>
      </c>
      <c r="B302" s="304">
        <v>44228</v>
      </c>
      <c r="C302" s="305" t="s">
        <v>1746</v>
      </c>
      <c r="D302" s="11" t="s">
        <v>2725</v>
      </c>
      <c r="E302" s="189" t="s">
        <v>1741</v>
      </c>
      <c r="F302" s="273" t="s">
        <v>1742</v>
      </c>
      <c r="G302" s="273" t="s">
        <v>189</v>
      </c>
      <c r="H302" s="273" t="s">
        <v>2494</v>
      </c>
      <c r="I302" s="17" t="s">
        <v>1745</v>
      </c>
      <c r="J302" s="349" t="s">
        <v>678</v>
      </c>
      <c r="K302" s="355">
        <v>45774</v>
      </c>
      <c r="L302" s="26"/>
      <c r="M302" s="306">
        <v>45774</v>
      </c>
      <c r="N302" s="273" t="s">
        <v>26</v>
      </c>
      <c r="O302" s="307">
        <v>200</v>
      </c>
      <c r="P302" s="307"/>
      <c r="Q302" s="307"/>
      <c r="R302" s="307"/>
      <c r="S302" s="307"/>
      <c r="T302" s="16"/>
      <c r="U302" s="190"/>
      <c r="V302" s="8"/>
    </row>
    <row r="303" spans="1:22" s="380" customFormat="1" ht="84" x14ac:dyDescent="0.2">
      <c r="A303" s="285" t="s">
        <v>2617</v>
      </c>
      <c r="B303" s="284">
        <v>44774</v>
      </c>
      <c r="C303" s="285" t="s">
        <v>2060</v>
      </c>
      <c r="D303" s="287" t="s">
        <v>2750</v>
      </c>
      <c r="E303" s="286" t="s">
        <v>2025</v>
      </c>
      <c r="F303" s="287" t="s">
        <v>2026</v>
      </c>
      <c r="G303" s="287" t="s">
        <v>2442</v>
      </c>
      <c r="H303" s="287" t="s">
        <v>2328</v>
      </c>
      <c r="I303" s="289" t="s">
        <v>1745</v>
      </c>
      <c r="J303" s="288" t="s">
        <v>678</v>
      </c>
      <c r="K303" s="367">
        <v>45842</v>
      </c>
      <c r="L303" s="290"/>
      <c r="M303" s="291">
        <v>45543</v>
      </c>
      <c r="N303" s="287" t="s">
        <v>26</v>
      </c>
      <c r="O303" s="292"/>
      <c r="P303" s="292"/>
      <c r="Q303" s="292"/>
      <c r="R303" s="292"/>
      <c r="S303" s="292"/>
      <c r="T303" s="368"/>
      <c r="U303" s="301"/>
      <c r="V303" s="369"/>
    </row>
    <row r="304" spans="1:22" ht="72" x14ac:dyDescent="0.25">
      <c r="A304" s="260" t="s">
        <v>2615</v>
      </c>
      <c r="B304" s="259">
        <v>41548</v>
      </c>
      <c r="C304" s="260" t="s">
        <v>833</v>
      </c>
      <c r="D304" s="262" t="s">
        <v>2753</v>
      </c>
      <c r="E304" s="261" t="s">
        <v>388</v>
      </c>
      <c r="F304" s="262" t="s">
        <v>389</v>
      </c>
      <c r="G304" s="261" t="s">
        <v>189</v>
      </c>
      <c r="H304" s="262" t="s">
        <v>2261</v>
      </c>
      <c r="I304" s="263" t="s">
        <v>33</v>
      </c>
      <c r="J304" s="269" t="s">
        <v>678</v>
      </c>
      <c r="K304" s="345">
        <v>46023</v>
      </c>
      <c r="L304" s="264">
        <v>42054</v>
      </c>
      <c r="M304" s="267">
        <v>45658</v>
      </c>
      <c r="N304" s="262" t="s">
        <v>26</v>
      </c>
      <c r="O304" s="265">
        <v>200</v>
      </c>
      <c r="P304" s="265"/>
      <c r="Q304" s="265">
        <v>200</v>
      </c>
      <c r="R304" s="265">
        <v>200</v>
      </c>
      <c r="S304" s="265" t="s">
        <v>29</v>
      </c>
      <c r="T304" s="197">
        <v>42674</v>
      </c>
      <c r="U304" s="196">
        <f t="shared" ref="U304:U305" si="5">EDATE(T304,2)</f>
        <v>42735</v>
      </c>
      <c r="V304" s="383">
        <v>42712</v>
      </c>
    </row>
    <row r="305" spans="1:22" s="1" customFormat="1" ht="192" x14ac:dyDescent="0.25">
      <c r="A305" s="260" t="s">
        <v>2616</v>
      </c>
      <c r="B305" s="259">
        <v>42095</v>
      </c>
      <c r="C305" s="260" t="s">
        <v>2307</v>
      </c>
      <c r="D305" s="262" t="s">
        <v>2753</v>
      </c>
      <c r="E305" s="261" t="s">
        <v>440</v>
      </c>
      <c r="F305" s="261" t="s">
        <v>419</v>
      </c>
      <c r="G305" s="261" t="s">
        <v>2319</v>
      </c>
      <c r="H305" s="262" t="s">
        <v>2265</v>
      </c>
      <c r="I305" s="263" t="s">
        <v>33</v>
      </c>
      <c r="J305" s="269" t="s">
        <v>46</v>
      </c>
      <c r="K305" s="345">
        <v>45839</v>
      </c>
      <c r="L305" s="264"/>
      <c r="M305" s="267">
        <v>45474</v>
      </c>
      <c r="N305" s="262" t="s">
        <v>47</v>
      </c>
      <c r="O305" s="265">
        <v>200</v>
      </c>
      <c r="P305" s="265"/>
      <c r="Q305" s="265">
        <v>200</v>
      </c>
      <c r="R305" s="265"/>
      <c r="S305" s="265"/>
      <c r="T305" s="197">
        <v>42551</v>
      </c>
      <c r="U305" s="196">
        <f t="shared" si="5"/>
        <v>42612</v>
      </c>
      <c r="V305" s="383">
        <v>42612</v>
      </c>
    </row>
    <row r="306" spans="1:22" ht="36" x14ac:dyDescent="0.25">
      <c r="A306" s="181" t="s">
        <v>2614</v>
      </c>
      <c r="B306" s="247">
        <v>42856</v>
      </c>
      <c r="C306" s="181" t="s">
        <v>884</v>
      </c>
      <c r="D306" s="400" t="s">
        <v>2755</v>
      </c>
      <c r="E306" s="184" t="s">
        <v>513</v>
      </c>
      <c r="F306" s="192" t="s">
        <v>428</v>
      </c>
      <c r="G306" s="184" t="s">
        <v>44</v>
      </c>
      <c r="H306" s="244" t="s">
        <v>45</v>
      </c>
      <c r="I306" s="185" t="s">
        <v>33</v>
      </c>
      <c r="J306" s="244" t="s">
        <v>678</v>
      </c>
      <c r="K306" s="334">
        <v>45839</v>
      </c>
      <c r="L306" s="193"/>
      <c r="M306" s="241">
        <v>45474</v>
      </c>
      <c r="N306" s="192" t="s">
        <v>47</v>
      </c>
      <c r="O306" s="194">
        <v>200</v>
      </c>
      <c r="P306" s="194"/>
      <c r="Q306" s="194"/>
      <c r="R306" s="194"/>
      <c r="S306" s="194" t="s">
        <v>29</v>
      </c>
      <c r="T306" s="184"/>
      <c r="U306" s="196"/>
      <c r="V306" s="384"/>
    </row>
    <row r="307" spans="1:22" ht="173.25" customHeight="1" x14ac:dyDescent="0.25">
      <c r="A307" s="229" t="s">
        <v>2613</v>
      </c>
      <c r="B307" s="199"/>
      <c r="C307" s="200" t="s">
        <v>781</v>
      </c>
      <c r="D307" s="401" t="s">
        <v>2778</v>
      </c>
      <c r="E307" s="201" t="s">
        <v>209</v>
      </c>
      <c r="F307" s="201" t="s">
        <v>210</v>
      </c>
      <c r="G307" s="201" t="s">
        <v>38</v>
      </c>
      <c r="H307" s="202" t="s">
        <v>2515</v>
      </c>
      <c r="I307" s="185" t="s">
        <v>33</v>
      </c>
      <c r="J307" s="336" t="s">
        <v>678</v>
      </c>
      <c r="K307" s="337">
        <v>45976</v>
      </c>
      <c r="L307" s="203">
        <v>42544</v>
      </c>
      <c r="M307" s="204">
        <v>45611</v>
      </c>
      <c r="N307" s="202" t="s">
        <v>47</v>
      </c>
      <c r="O307" s="206">
        <v>200</v>
      </c>
      <c r="P307" s="206"/>
      <c r="Q307" s="206" t="s">
        <v>207</v>
      </c>
      <c r="R307" s="206" t="s">
        <v>208</v>
      </c>
      <c r="S307" s="206" t="s">
        <v>35</v>
      </c>
      <c r="T307" s="197">
        <v>42400</v>
      </c>
      <c r="U307" s="196">
        <f>EDATE(T307,2)</f>
        <v>42460</v>
      </c>
      <c r="V307" s="383">
        <v>42459</v>
      </c>
    </row>
    <row r="308" spans="1:22" s="1" customFormat="1" ht="60" x14ac:dyDescent="0.25">
      <c r="A308" s="181" t="s">
        <v>2687</v>
      </c>
      <c r="B308" s="247">
        <v>41030</v>
      </c>
      <c r="C308" s="181" t="s">
        <v>824</v>
      </c>
      <c r="D308" s="400" t="s">
        <v>2737</v>
      </c>
      <c r="E308" s="184" t="s">
        <v>370</v>
      </c>
      <c r="F308" s="184">
        <v>93</v>
      </c>
      <c r="G308" s="192" t="s">
        <v>2569</v>
      </c>
      <c r="H308" s="192" t="s">
        <v>2634</v>
      </c>
      <c r="I308" s="185" t="s">
        <v>33</v>
      </c>
      <c r="J308" s="244" t="s">
        <v>678</v>
      </c>
      <c r="K308" s="334">
        <v>46172</v>
      </c>
      <c r="L308" s="193"/>
      <c r="M308" s="186">
        <v>45807</v>
      </c>
      <c r="N308" s="192" t="s">
        <v>52</v>
      </c>
      <c r="O308" s="194">
        <v>200</v>
      </c>
      <c r="P308" s="194" t="s">
        <v>27</v>
      </c>
      <c r="Q308" s="194"/>
      <c r="R308" s="194"/>
      <c r="S308" s="194" t="s">
        <v>29</v>
      </c>
      <c r="T308" s="195">
        <v>42735</v>
      </c>
      <c r="U308" s="196">
        <f t="shared" ref="U308" si="6">EDATE(T308,2)</f>
        <v>42794</v>
      </c>
      <c r="V308" s="384">
        <v>42424</v>
      </c>
    </row>
    <row r="309" spans="1:22" ht="72" x14ac:dyDescent="0.25">
      <c r="A309" s="305" t="s">
        <v>2712</v>
      </c>
      <c r="B309" s="304">
        <v>43525</v>
      </c>
      <c r="C309" s="305" t="s">
        <v>962</v>
      </c>
      <c r="D309" s="11" t="s">
        <v>2727</v>
      </c>
      <c r="E309" s="189" t="s">
        <v>655</v>
      </c>
      <c r="F309" s="273" t="s">
        <v>656</v>
      </c>
      <c r="G309" s="273" t="s">
        <v>2444</v>
      </c>
      <c r="H309" s="314" t="s">
        <v>1994</v>
      </c>
      <c r="I309" s="5" t="s">
        <v>39</v>
      </c>
      <c r="J309" s="349" t="s">
        <v>678</v>
      </c>
      <c r="K309" s="350">
        <v>46054</v>
      </c>
      <c r="L309" s="26"/>
      <c r="M309" s="306">
        <v>45323</v>
      </c>
      <c r="N309" s="11" t="s">
        <v>26</v>
      </c>
      <c r="O309" s="307">
        <v>200</v>
      </c>
      <c r="P309" s="13" t="s">
        <v>41</v>
      </c>
      <c r="Q309" s="307"/>
      <c r="R309" s="307"/>
      <c r="S309" s="307"/>
      <c r="T309" s="16"/>
      <c r="U309" s="190"/>
      <c r="V309" s="8"/>
    </row>
    <row r="310" spans="1:22" ht="63" customHeight="1" x14ac:dyDescent="0.25">
      <c r="A310" s="2" t="s">
        <v>2715</v>
      </c>
      <c r="B310" s="246">
        <v>45597</v>
      </c>
      <c r="C310" s="11" t="s">
        <v>2404</v>
      </c>
      <c r="D310" s="11" t="s">
        <v>2727</v>
      </c>
      <c r="E310" s="4" t="s">
        <v>2402</v>
      </c>
      <c r="F310" s="11" t="s">
        <v>300</v>
      </c>
      <c r="G310" s="11" t="s">
        <v>189</v>
      </c>
      <c r="H310" s="11"/>
      <c r="I310" s="17" t="s">
        <v>2403</v>
      </c>
      <c r="J310" s="20" t="s">
        <v>2158</v>
      </c>
      <c r="K310" s="372">
        <v>45946</v>
      </c>
      <c r="L310" s="12"/>
      <c r="M310" s="19">
        <v>45809</v>
      </c>
      <c r="N310" s="11" t="s">
        <v>52</v>
      </c>
      <c r="O310" s="13"/>
      <c r="P310" s="13"/>
      <c r="Q310" s="13"/>
      <c r="R310" s="13"/>
      <c r="S310" s="13"/>
      <c r="T310" s="293"/>
      <c r="U310" s="14"/>
      <c r="V310" s="15"/>
    </row>
    <row r="311" spans="1:22" s="9" customFormat="1" ht="120.75" customHeight="1" x14ac:dyDescent="0.25">
      <c r="A311" s="260" t="s">
        <v>2925</v>
      </c>
      <c r="B311" s="259">
        <v>41609</v>
      </c>
      <c r="C311" s="260" t="s">
        <v>835</v>
      </c>
      <c r="D311" s="390" t="s">
        <v>2727</v>
      </c>
      <c r="E311" s="261" t="s">
        <v>394</v>
      </c>
      <c r="F311" s="262" t="s">
        <v>395</v>
      </c>
      <c r="G311" s="261" t="s">
        <v>2323</v>
      </c>
      <c r="H311" s="269" t="s">
        <v>2647</v>
      </c>
      <c r="I311" s="263" t="s">
        <v>60</v>
      </c>
      <c r="J311" s="269" t="s">
        <v>2158</v>
      </c>
      <c r="K311" s="345">
        <v>45962</v>
      </c>
      <c r="L311" s="345">
        <v>42055</v>
      </c>
      <c r="M311" s="421">
        <v>45962</v>
      </c>
      <c r="N311" s="269" t="s">
        <v>47</v>
      </c>
      <c r="O311" s="456">
        <v>200</v>
      </c>
      <c r="P311" s="456"/>
      <c r="Q311" s="456">
        <v>100</v>
      </c>
      <c r="R311" s="456">
        <v>100</v>
      </c>
      <c r="S311" s="456" t="s">
        <v>29</v>
      </c>
      <c r="T311" s="439">
        <v>42674</v>
      </c>
      <c r="U311" s="434">
        <f t="shared" ref="U311" si="7">EDATE(T311,2)</f>
        <v>42735</v>
      </c>
      <c r="V311" s="429">
        <v>42711</v>
      </c>
    </row>
    <row r="312" spans="1:22" s="380" customFormat="1" ht="109.5" customHeight="1" x14ac:dyDescent="0.2">
      <c r="A312" s="285" t="s">
        <v>2924</v>
      </c>
      <c r="B312" s="284">
        <v>44866</v>
      </c>
      <c r="C312" s="285" t="s">
        <v>2180</v>
      </c>
      <c r="D312" s="397" t="s">
        <v>2727</v>
      </c>
      <c r="E312" s="286" t="s">
        <v>2020</v>
      </c>
      <c r="F312" s="287" t="s">
        <v>2181</v>
      </c>
      <c r="G312" s="287" t="s">
        <v>2573</v>
      </c>
      <c r="H312" s="288" t="s">
        <v>2822</v>
      </c>
      <c r="I312" s="289" t="s">
        <v>1745</v>
      </c>
      <c r="J312" s="288" t="s">
        <v>678</v>
      </c>
      <c r="K312" s="367">
        <v>46308</v>
      </c>
      <c r="L312" s="346"/>
      <c r="M312" s="386">
        <v>45943</v>
      </c>
      <c r="N312" s="288" t="s">
        <v>26</v>
      </c>
      <c r="O312" s="387"/>
      <c r="P312" s="387"/>
      <c r="Q312" s="387"/>
      <c r="R312" s="387"/>
      <c r="S312" s="387"/>
      <c r="T312" s="441"/>
      <c r="U312" s="436"/>
      <c r="V312" s="431"/>
    </row>
    <row r="313" spans="1:22" s="32" customFormat="1" ht="72" x14ac:dyDescent="0.2">
      <c r="A313" s="242" t="s">
        <v>3042</v>
      </c>
      <c r="B313" s="379">
        <v>45748</v>
      </c>
      <c r="C313" s="273" t="s">
        <v>2552</v>
      </c>
      <c r="D313" s="10" t="s">
        <v>2727</v>
      </c>
      <c r="E313" s="189" t="s">
        <v>2482</v>
      </c>
      <c r="F313" s="189" t="s">
        <v>698</v>
      </c>
      <c r="G313" s="273" t="s">
        <v>2575</v>
      </c>
      <c r="H313" s="20"/>
      <c r="I313" s="17" t="s">
        <v>2403</v>
      </c>
      <c r="J313" s="17" t="s">
        <v>2158</v>
      </c>
      <c r="K313" s="350">
        <v>46109</v>
      </c>
      <c r="L313" s="17"/>
      <c r="M313" s="410">
        <v>45870</v>
      </c>
      <c r="N313" s="20" t="s">
        <v>52</v>
      </c>
      <c r="O313" s="406"/>
      <c r="P313" s="406"/>
      <c r="Q313" s="17"/>
      <c r="R313" s="17"/>
      <c r="S313" s="17"/>
      <c r="T313" s="17"/>
      <c r="U313" s="433"/>
      <c r="V313" s="430"/>
    </row>
    <row r="314" spans="1:22" ht="36" x14ac:dyDescent="0.25">
      <c r="A314" s="2" t="s">
        <v>2977</v>
      </c>
      <c r="B314" s="21">
        <v>41609</v>
      </c>
      <c r="C314" s="2" t="s">
        <v>836</v>
      </c>
      <c r="D314" s="10" t="s">
        <v>2751</v>
      </c>
      <c r="E314" s="4" t="s">
        <v>396</v>
      </c>
      <c r="F314" s="11" t="s">
        <v>397</v>
      </c>
      <c r="G314" s="4" t="s">
        <v>2649</v>
      </c>
      <c r="H314" s="270"/>
      <c r="I314" s="5" t="s">
        <v>33</v>
      </c>
      <c r="J314" s="20" t="s">
        <v>398</v>
      </c>
      <c r="K314" s="335">
        <v>46001</v>
      </c>
      <c r="L314" s="335">
        <v>42535</v>
      </c>
      <c r="M314" s="407" t="s">
        <v>2841</v>
      </c>
      <c r="N314" s="20" t="s">
        <v>47</v>
      </c>
      <c r="O314" s="445">
        <v>200</v>
      </c>
      <c r="P314" s="445"/>
      <c r="Q314" s="445">
        <v>200</v>
      </c>
      <c r="R314" s="445">
        <v>200</v>
      </c>
      <c r="S314" s="445" t="s">
        <v>29</v>
      </c>
      <c r="T314" s="438">
        <v>42674</v>
      </c>
      <c r="U314" s="435">
        <f>EDATE(T314,2)</f>
        <v>42735</v>
      </c>
      <c r="V314" s="430">
        <v>42752</v>
      </c>
    </row>
    <row r="315" spans="1:22" ht="114.75" customHeight="1" x14ac:dyDescent="0.25">
      <c r="A315" s="2" t="s">
        <v>3040</v>
      </c>
      <c r="B315" s="246">
        <v>45505</v>
      </c>
      <c r="C315" s="11" t="s">
        <v>2760</v>
      </c>
      <c r="D315" s="10" t="s">
        <v>2751</v>
      </c>
      <c r="E315" s="4" t="s">
        <v>2383</v>
      </c>
      <c r="F315" s="11" t="s">
        <v>2384</v>
      </c>
      <c r="G315" s="11" t="s">
        <v>2229</v>
      </c>
      <c r="H315" s="20"/>
      <c r="I315" s="17" t="s">
        <v>2385</v>
      </c>
      <c r="J315" s="20" t="s">
        <v>2158</v>
      </c>
      <c r="K315" s="374" t="s">
        <v>2697</v>
      </c>
      <c r="L315" s="335"/>
      <c r="M315" s="410" t="s">
        <v>2664</v>
      </c>
      <c r="N315" s="20" t="s">
        <v>47</v>
      </c>
      <c r="O315" s="445"/>
      <c r="P315" s="445"/>
      <c r="Q315" s="445"/>
      <c r="R315" s="445"/>
      <c r="S315" s="445"/>
      <c r="T315" s="440"/>
      <c r="U315" s="435"/>
      <c r="V315" s="432"/>
    </row>
    <row r="316" spans="1:22" s="32" customFormat="1" ht="132" x14ac:dyDescent="0.2">
      <c r="A316" s="305" t="s">
        <v>3041</v>
      </c>
      <c r="B316" s="304">
        <v>44409</v>
      </c>
      <c r="C316" s="371" t="s">
        <v>1832</v>
      </c>
      <c r="D316" s="389" t="s">
        <v>2740</v>
      </c>
      <c r="E316" s="189" t="s">
        <v>1836</v>
      </c>
      <c r="F316" s="273" t="s">
        <v>1840</v>
      </c>
      <c r="G316" s="273" t="s">
        <v>1939</v>
      </c>
      <c r="H316" s="349" t="s">
        <v>2860</v>
      </c>
      <c r="I316" s="17" t="s">
        <v>1753</v>
      </c>
      <c r="J316" s="349" t="s">
        <v>46</v>
      </c>
      <c r="K316" s="355">
        <v>46203</v>
      </c>
      <c r="L316" s="350"/>
      <c r="M316" s="425">
        <v>45838</v>
      </c>
      <c r="N316" s="349" t="s">
        <v>52</v>
      </c>
      <c r="O316" s="459">
        <v>200</v>
      </c>
      <c r="P316" s="459"/>
      <c r="Q316" s="459"/>
      <c r="R316" s="459"/>
      <c r="S316" s="459"/>
      <c r="T316" s="438"/>
      <c r="U316" s="433"/>
      <c r="V316" s="430"/>
    </row>
    <row r="317" spans="1:22" s="32" customFormat="1" ht="156" x14ac:dyDescent="0.2">
      <c r="A317" s="2" t="s">
        <v>3078</v>
      </c>
      <c r="B317" s="246">
        <v>45444</v>
      </c>
      <c r="C317" s="11" t="s">
        <v>2315</v>
      </c>
      <c r="D317" s="10" t="s">
        <v>2732</v>
      </c>
      <c r="E317" s="4" t="s">
        <v>2316</v>
      </c>
      <c r="F317" s="11" t="s">
        <v>2317</v>
      </c>
      <c r="G317" s="11" t="s">
        <v>38</v>
      </c>
      <c r="H317" s="20"/>
      <c r="I317" s="17" t="s">
        <v>2318</v>
      </c>
      <c r="J317" s="20" t="s">
        <v>678</v>
      </c>
      <c r="K317" s="591">
        <v>46144</v>
      </c>
      <c r="L317" s="410" t="s">
        <v>3034</v>
      </c>
      <c r="M317" s="20" t="s">
        <v>47</v>
      </c>
      <c r="N317" s="445"/>
      <c r="O317" s="445"/>
      <c r="P317" s="445"/>
    </row>
    <row r="318" spans="1:22" s="32" customFormat="1" ht="53.25" customHeight="1" x14ac:dyDescent="0.2">
      <c r="A318" s="242" t="s">
        <v>3082</v>
      </c>
      <c r="B318" s="379">
        <v>45627</v>
      </c>
      <c r="C318" s="273" t="s">
        <v>2464</v>
      </c>
      <c r="D318" s="10" t="s">
        <v>2727</v>
      </c>
      <c r="E318" s="189" t="s">
        <v>2457</v>
      </c>
      <c r="F318" s="189" t="s">
        <v>2458</v>
      </c>
      <c r="G318" s="680" t="s">
        <v>2501</v>
      </c>
      <c r="H318" s="11" t="s">
        <v>2535</v>
      </c>
      <c r="I318" s="189" t="s">
        <v>2459</v>
      </c>
      <c r="J318" s="273" t="s">
        <v>34</v>
      </c>
      <c r="K318" s="26">
        <v>46386</v>
      </c>
      <c r="L318" s="189"/>
      <c r="M318" s="410" t="s">
        <v>3048</v>
      </c>
      <c r="N318" s="20" t="s">
        <v>26</v>
      </c>
      <c r="O318" s="406"/>
      <c r="P318" s="406"/>
      <c r="Q318" s="17"/>
      <c r="R318" s="17"/>
      <c r="S318" s="17"/>
      <c r="T318" s="17"/>
      <c r="U318" s="433"/>
      <c r="V318" s="430"/>
    </row>
    <row r="319" spans="1:22" s="567" customFormat="1" ht="48" x14ac:dyDescent="0.25">
      <c r="A319" s="717" t="s">
        <v>3213</v>
      </c>
      <c r="B319" s="882" t="s">
        <v>273</v>
      </c>
      <c r="C319" s="562" t="s">
        <v>805</v>
      </c>
      <c r="D319" s="524" t="s">
        <v>2725</v>
      </c>
      <c r="E319" s="563" t="s">
        <v>289</v>
      </c>
      <c r="F319" s="563" t="s">
        <v>290</v>
      </c>
      <c r="G319" s="538" t="s">
        <v>18</v>
      </c>
      <c r="H319" s="544" t="s">
        <v>291</v>
      </c>
      <c r="I319" s="564" t="s">
        <v>33</v>
      </c>
      <c r="J319" s="544" t="s">
        <v>678</v>
      </c>
      <c r="K319" s="601">
        <v>46447</v>
      </c>
      <c r="L319" s="565" t="s">
        <v>2997</v>
      </c>
      <c r="M319" s="544" t="s">
        <v>26</v>
      </c>
      <c r="N319" s="566"/>
      <c r="O319" s="566"/>
      <c r="P319" s="566" t="s">
        <v>29</v>
      </c>
    </row>
    <row r="320" spans="1:22" s="945" customFormat="1" ht="60" x14ac:dyDescent="0.2">
      <c r="A320" s="938" t="s">
        <v>3228</v>
      </c>
      <c r="B320" s="939">
        <v>41791</v>
      </c>
      <c r="C320" s="938" t="s">
        <v>844</v>
      </c>
      <c r="D320" s="940" t="s">
        <v>2725</v>
      </c>
      <c r="E320" s="941" t="s">
        <v>417</v>
      </c>
      <c r="F320" s="941" t="s">
        <v>418</v>
      </c>
      <c r="G320" s="940" t="s">
        <v>2235</v>
      </c>
      <c r="H320" s="925" t="s">
        <v>2846</v>
      </c>
      <c r="I320" s="942" t="s">
        <v>33</v>
      </c>
      <c r="J320" s="925" t="s">
        <v>46</v>
      </c>
      <c r="K320" s="926">
        <v>46508</v>
      </c>
      <c r="L320" s="943" t="s">
        <v>3055</v>
      </c>
      <c r="M320" s="925" t="s">
        <v>26</v>
      </c>
      <c r="N320" s="944">
        <v>200</v>
      </c>
      <c r="O320" s="944"/>
      <c r="P320" s="944" t="s">
        <v>35</v>
      </c>
    </row>
    <row r="321" spans="1:16" s="951" customFormat="1" ht="84" x14ac:dyDescent="0.25">
      <c r="A321" s="920" t="s">
        <v>3230</v>
      </c>
      <c r="B321" s="946">
        <v>45931</v>
      </c>
      <c r="C321" s="947" t="s">
        <v>2720</v>
      </c>
      <c r="D321" s="948" t="s">
        <v>2743</v>
      </c>
      <c r="E321" s="949" t="s">
        <v>2721</v>
      </c>
      <c r="F321" s="947" t="s">
        <v>2831</v>
      </c>
      <c r="G321" s="947" t="s">
        <v>2229</v>
      </c>
      <c r="H321" s="902"/>
      <c r="I321" s="903" t="s">
        <v>2722</v>
      </c>
      <c r="J321" s="950" t="s">
        <v>46</v>
      </c>
      <c r="K321" s="919">
        <v>46266</v>
      </c>
      <c r="L321" s="903" t="s">
        <v>2858</v>
      </c>
      <c r="M321" s="902" t="s">
        <v>47</v>
      </c>
      <c r="N321" s="950"/>
      <c r="O321" s="950"/>
      <c r="P321" s="950"/>
    </row>
  </sheetData>
  <customSheetViews>
    <customSheetView guid="{02D9BE9C-2C8F-451C-9BC4-65A28BBECA1E}" showPageBreaks="1">
      <selection activeCell="C10" sqref="C10"/>
      <pageMargins left="0.7" right="0.7" top="0.75" bottom="0.75" header="0.3" footer="0.3"/>
      <pageSetup orientation="portrait" r:id="rId1"/>
    </customSheetView>
    <customSheetView guid="{48259BF3-62F5-440A-8886-4420B7555946}" topLeftCell="A202">
      <selection activeCell="A205" sqref="A205"/>
      <pageMargins left="0.7" right="0.7" top="0.75" bottom="0.75" header="0.3" footer="0.3"/>
      <pageSetup orientation="portrait" r:id="rId2"/>
    </customSheetView>
    <customSheetView guid="{AAFB2EC0-D5A8-4D22-9ECE-29784D5FA584}" showPageBreaks="1" topLeftCell="A193">
      <selection activeCell="C202" sqref="C202"/>
      <pageMargins left="0.7" right="0.7" top="0.75" bottom="0.75" header="0.3" footer="0.3"/>
      <pageSetup orientation="portrait" r:id="rId3"/>
    </customSheetView>
    <customSheetView guid="{D7E4B667-2A76-498E-BF2E-A393F17EAA25}" showPageBreaks="1" topLeftCell="A213">
      <selection activeCell="A222" sqref="A222"/>
      <pageMargins left="0.7" right="0.7" top="0.75" bottom="0.75" header="0.3" footer="0.3"/>
      <pageSetup orientation="portrait" r:id="rId4"/>
    </customSheetView>
  </customSheetViews>
  <pageMargins left="0.7" right="0.7" top="0.75" bottom="0.75" header="0.3" footer="0.3"/>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2C2B22B752AA144878CDFBC1B30A09A" ma:contentTypeVersion="2" ma:contentTypeDescription="Create a new document." ma:contentTypeScope="" ma:versionID="c74c2330d0d1639c305872b0d2213ac5">
  <xsd:schema xmlns:xsd="http://www.w3.org/2001/XMLSchema" xmlns:xs="http://www.w3.org/2001/XMLSchema" xmlns:p="http://schemas.microsoft.com/office/2006/metadata/properties" xmlns:ns3="aeb6af76-ea89-4b89-9bed-4c1c90056bfc" targetNamespace="http://schemas.microsoft.com/office/2006/metadata/properties" ma:root="true" ma:fieldsID="1882b373fde0f7a92c4e7dd2375503d3" ns3:_="">
    <xsd:import namespace="aeb6af76-ea89-4b89-9bed-4c1c90056bfc"/>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b6af76-ea89-4b89-9bed-4c1c90056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A75FB0-F4B6-422C-B4DB-6B3AD62E550A}">
  <ds:schemaRefs>
    <ds:schemaRef ds:uri="aeb6af76-ea89-4b89-9bed-4c1c90056bfc"/>
    <ds:schemaRef ds:uri="http://schemas.microsoft.com/office/2006/metadata/properties"/>
    <ds:schemaRef ds:uri="http://purl.org/dc/elements/1.1/"/>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31B42C0C-613A-4446-B2F7-D093C08C7443}">
  <ds:schemaRefs>
    <ds:schemaRef ds:uri="http://schemas.microsoft.com/sharepoint/v3/contenttype/forms"/>
  </ds:schemaRefs>
</ds:datastoreItem>
</file>

<file path=customXml/itemProps3.xml><?xml version="1.0" encoding="utf-8"?>
<ds:datastoreItem xmlns:ds="http://schemas.openxmlformats.org/officeDocument/2006/customXml" ds:itemID="{CC29A238-A866-43D7-86DB-C87D801687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b6af76-ea89-4b89-9bed-4c1c90056b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Active Projects</vt:lpstr>
      <vt:lpstr>NLM</vt:lpstr>
    </vt:vector>
  </TitlesOfParts>
  <Company>Qualico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Alvarez</dc:creator>
  <cp:lastModifiedBy>Reception</cp:lastModifiedBy>
  <cp:lastPrinted>2022-12-08T19:02:11Z</cp:lastPrinted>
  <dcterms:created xsi:type="dcterms:W3CDTF">2020-06-26T22:51:57Z</dcterms:created>
  <dcterms:modified xsi:type="dcterms:W3CDTF">2026-07-03T17:14:38Z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0x010100B2C2B22B752AA144878CDFBC1B30A09A</vt:lpwstr>
  </property>
</Properties>
</file>